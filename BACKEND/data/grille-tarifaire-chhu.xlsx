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umb\Documents\CHHU\pre\grille\"/>
    </mc:Choice>
  </mc:AlternateContent>
  <bookViews>
    <workbookView xWindow="0" yWindow="0" windowWidth="19200" windowHeight="6930" activeTab="1"/>
  </bookViews>
  <sheets>
    <sheet name="Sommaire" sheetId="1" r:id="rId1"/>
    <sheet name="Grille CHHU" sheetId="2" r:id="rId2"/>
  </sheets>
  <definedNames>
    <definedName name="_xlnm._FilterDatabase" localSheetId="1" hidden="1">'Grille CHHU'!$A$3:$J$272</definedName>
    <definedName name="_xlnm.Print_Titles" localSheetId="1">'Grille CHHU'!$1:$3</definedName>
  </definedNames>
  <calcPr calcId="162913"/>
</workbook>
</file>

<file path=xl/calcChain.xml><?xml version="1.0" encoding="utf-8"?>
<calcChain xmlns="http://schemas.openxmlformats.org/spreadsheetml/2006/main">
  <c r="J272" i="2" l="1"/>
  <c r="I272" i="2"/>
  <c r="H272" i="2"/>
  <c r="G272" i="2"/>
  <c r="F272" i="2"/>
  <c r="J271" i="2"/>
  <c r="I271" i="2"/>
  <c r="H271" i="2"/>
  <c r="G271" i="2"/>
  <c r="F271" i="2"/>
  <c r="J270" i="2"/>
  <c r="I270" i="2"/>
  <c r="H270" i="2"/>
  <c r="G270" i="2"/>
  <c r="F270" i="2"/>
  <c r="J269" i="2"/>
  <c r="I269" i="2"/>
  <c r="H269" i="2"/>
  <c r="G269" i="2"/>
  <c r="F269" i="2"/>
  <c r="J268" i="2"/>
  <c r="I268" i="2"/>
  <c r="H268" i="2"/>
  <c r="G268" i="2"/>
  <c r="F268" i="2"/>
  <c r="J267" i="2"/>
  <c r="I267" i="2"/>
  <c r="H267" i="2"/>
  <c r="G267" i="2"/>
  <c r="F267" i="2"/>
  <c r="J266" i="2"/>
  <c r="I266" i="2"/>
  <c r="H266" i="2"/>
  <c r="G266" i="2"/>
  <c r="F266" i="2"/>
  <c r="J265" i="2"/>
  <c r="I265" i="2"/>
  <c r="H265" i="2"/>
  <c r="G265" i="2"/>
  <c r="F265" i="2"/>
  <c r="J264" i="2"/>
  <c r="I264" i="2"/>
  <c r="H264" i="2"/>
  <c r="G264" i="2"/>
  <c r="F264" i="2"/>
  <c r="J263" i="2"/>
  <c r="I263" i="2"/>
  <c r="H263" i="2"/>
  <c r="G263" i="2"/>
  <c r="F263" i="2"/>
  <c r="J262" i="2"/>
  <c r="I262" i="2"/>
  <c r="H262" i="2"/>
  <c r="G262" i="2"/>
  <c r="F262" i="2"/>
  <c r="J261" i="2"/>
  <c r="I261" i="2"/>
  <c r="H261" i="2"/>
  <c r="G261" i="2"/>
  <c r="F261" i="2"/>
  <c r="J260" i="2"/>
  <c r="I260" i="2"/>
  <c r="H260" i="2"/>
  <c r="G260" i="2"/>
  <c r="F260" i="2"/>
  <c r="J259" i="2"/>
  <c r="I259" i="2"/>
  <c r="H259" i="2"/>
  <c r="G259" i="2"/>
  <c r="F259" i="2"/>
  <c r="J258" i="2"/>
  <c r="I258" i="2"/>
  <c r="H258" i="2"/>
  <c r="G258" i="2"/>
  <c r="F258" i="2"/>
  <c r="J257" i="2"/>
  <c r="I257" i="2"/>
  <c r="H257" i="2"/>
  <c r="G257" i="2"/>
  <c r="F257" i="2"/>
  <c r="J256" i="2"/>
  <c r="I256" i="2"/>
  <c r="H256" i="2"/>
  <c r="G256" i="2"/>
  <c r="F256" i="2"/>
  <c r="J255" i="2"/>
  <c r="I255" i="2"/>
  <c r="H255" i="2"/>
  <c r="G255" i="2"/>
  <c r="F255" i="2"/>
  <c r="J254" i="2"/>
  <c r="I254" i="2"/>
  <c r="H254" i="2"/>
  <c r="G254" i="2"/>
  <c r="F254" i="2"/>
  <c r="J253" i="2"/>
  <c r="I253" i="2"/>
  <c r="H253" i="2"/>
  <c r="G253" i="2"/>
  <c r="F253" i="2"/>
  <c r="J252" i="2"/>
  <c r="I252" i="2"/>
  <c r="H252" i="2"/>
  <c r="G252" i="2"/>
  <c r="F252" i="2"/>
  <c r="J251" i="2"/>
  <c r="I251" i="2"/>
  <c r="H251" i="2"/>
  <c r="G251" i="2"/>
  <c r="F251" i="2"/>
  <c r="J250" i="2"/>
  <c r="I250" i="2"/>
  <c r="H250" i="2"/>
  <c r="G250" i="2"/>
  <c r="F250" i="2"/>
  <c r="J249" i="2"/>
  <c r="I249" i="2"/>
  <c r="H249" i="2"/>
  <c r="G249" i="2"/>
  <c r="F249" i="2"/>
  <c r="J248" i="2"/>
  <c r="I248" i="2"/>
  <c r="H248" i="2"/>
  <c r="G248" i="2"/>
  <c r="F248" i="2"/>
  <c r="J247" i="2"/>
  <c r="I247" i="2"/>
  <c r="H247" i="2"/>
  <c r="G247" i="2"/>
  <c r="F247" i="2"/>
  <c r="J246" i="2"/>
  <c r="I246" i="2"/>
  <c r="H246" i="2"/>
  <c r="G246" i="2"/>
  <c r="F246" i="2"/>
  <c r="J245" i="2"/>
  <c r="I245" i="2"/>
  <c r="H245" i="2"/>
  <c r="G245" i="2"/>
  <c r="F245" i="2"/>
  <c r="J244" i="2"/>
  <c r="I244" i="2"/>
  <c r="H244" i="2"/>
  <c r="G244" i="2"/>
  <c r="F244" i="2"/>
  <c r="J243" i="2"/>
  <c r="I243" i="2"/>
  <c r="H243" i="2"/>
  <c r="G243" i="2"/>
  <c r="F243" i="2"/>
  <c r="J242" i="2"/>
  <c r="I242" i="2"/>
  <c r="H242" i="2"/>
  <c r="G242" i="2"/>
  <c r="F242" i="2"/>
  <c r="J241" i="2"/>
  <c r="I241" i="2"/>
  <c r="H241" i="2"/>
  <c r="G241" i="2"/>
  <c r="F241" i="2"/>
  <c r="J240" i="2"/>
  <c r="I240" i="2"/>
  <c r="H240" i="2"/>
  <c r="G240" i="2"/>
  <c r="F240" i="2"/>
  <c r="J239" i="2"/>
  <c r="I239" i="2"/>
  <c r="H239" i="2"/>
  <c r="G239" i="2"/>
  <c r="F239" i="2"/>
  <c r="J238" i="2"/>
  <c r="I238" i="2"/>
  <c r="H238" i="2"/>
  <c r="G238" i="2"/>
  <c r="F238" i="2"/>
  <c r="J237" i="2"/>
  <c r="I237" i="2"/>
  <c r="H237" i="2"/>
  <c r="G237" i="2"/>
  <c r="F237" i="2"/>
  <c r="J236" i="2"/>
  <c r="I236" i="2"/>
  <c r="H236" i="2"/>
  <c r="G236" i="2"/>
  <c r="F236" i="2"/>
  <c r="J235" i="2"/>
  <c r="I235" i="2"/>
  <c r="H235" i="2"/>
  <c r="G235" i="2"/>
  <c r="F235" i="2"/>
  <c r="J234" i="2"/>
  <c r="I234" i="2"/>
  <c r="H234" i="2"/>
  <c r="G234" i="2"/>
  <c r="F234" i="2"/>
  <c r="J233" i="2"/>
  <c r="I233" i="2"/>
  <c r="H233" i="2"/>
  <c r="G233" i="2"/>
  <c r="F233" i="2"/>
  <c r="J232" i="2"/>
  <c r="I232" i="2"/>
  <c r="H232" i="2"/>
  <c r="G232" i="2"/>
  <c r="F232" i="2"/>
  <c r="J231" i="2"/>
  <c r="I231" i="2"/>
  <c r="H231" i="2"/>
  <c r="G231" i="2"/>
  <c r="F231" i="2"/>
  <c r="J230" i="2"/>
  <c r="I230" i="2"/>
  <c r="H230" i="2"/>
  <c r="G230" i="2"/>
  <c r="F230" i="2"/>
  <c r="J229" i="2"/>
  <c r="I229" i="2"/>
  <c r="H229" i="2"/>
  <c r="G229" i="2"/>
  <c r="F229" i="2"/>
  <c r="J228" i="2"/>
  <c r="I228" i="2"/>
  <c r="H228" i="2"/>
  <c r="G228" i="2"/>
  <c r="F228" i="2"/>
  <c r="J227" i="2"/>
  <c r="I227" i="2"/>
  <c r="H227" i="2"/>
  <c r="G227" i="2"/>
  <c r="F227" i="2"/>
  <c r="J226" i="2"/>
  <c r="I226" i="2"/>
  <c r="H226" i="2"/>
  <c r="G226" i="2"/>
  <c r="F226" i="2"/>
  <c r="J225" i="2"/>
  <c r="I225" i="2"/>
  <c r="H225" i="2"/>
  <c r="G225" i="2"/>
  <c r="F225" i="2"/>
  <c r="J224" i="2"/>
  <c r="I224" i="2"/>
  <c r="H224" i="2"/>
  <c r="G224" i="2"/>
  <c r="F224" i="2"/>
  <c r="J223" i="2"/>
  <c r="I223" i="2"/>
  <c r="H223" i="2"/>
  <c r="G223" i="2"/>
  <c r="F223" i="2"/>
  <c r="J222" i="2"/>
  <c r="I222" i="2"/>
  <c r="H222" i="2"/>
  <c r="G222" i="2"/>
  <c r="F222" i="2"/>
  <c r="J221" i="2"/>
  <c r="I221" i="2"/>
  <c r="H221" i="2"/>
  <c r="G221" i="2"/>
  <c r="F221" i="2"/>
  <c r="J220" i="2"/>
  <c r="I220" i="2"/>
  <c r="H220" i="2"/>
  <c r="G220" i="2"/>
  <c r="F220" i="2"/>
  <c r="J219" i="2"/>
  <c r="I219" i="2"/>
  <c r="H219" i="2"/>
  <c r="G219" i="2"/>
  <c r="F219" i="2"/>
  <c r="J218" i="2"/>
  <c r="I218" i="2"/>
  <c r="H218" i="2"/>
  <c r="G218" i="2"/>
  <c r="F218" i="2"/>
  <c r="J217" i="2"/>
  <c r="I217" i="2"/>
  <c r="H217" i="2"/>
  <c r="G217" i="2"/>
  <c r="F217" i="2"/>
  <c r="J216" i="2"/>
  <c r="I216" i="2"/>
  <c r="H216" i="2"/>
  <c r="G216" i="2"/>
  <c r="F216" i="2"/>
  <c r="J215" i="2"/>
  <c r="I215" i="2"/>
  <c r="H215" i="2"/>
  <c r="G215" i="2"/>
  <c r="F215" i="2"/>
  <c r="J214" i="2"/>
  <c r="I214" i="2"/>
  <c r="H214" i="2"/>
  <c r="G214" i="2"/>
  <c r="F214" i="2"/>
  <c r="J213" i="2"/>
  <c r="I213" i="2"/>
  <c r="H213" i="2"/>
  <c r="G213" i="2"/>
  <c r="F213" i="2"/>
  <c r="J212" i="2"/>
  <c r="I212" i="2"/>
  <c r="H212" i="2"/>
  <c r="G212" i="2"/>
  <c r="F212" i="2"/>
  <c r="J211" i="2"/>
  <c r="I211" i="2"/>
  <c r="H211" i="2"/>
  <c r="G211" i="2"/>
  <c r="F211" i="2"/>
  <c r="J210" i="2"/>
  <c r="I210" i="2"/>
  <c r="H210" i="2"/>
  <c r="G210" i="2"/>
  <c r="F210" i="2"/>
  <c r="J209" i="2"/>
  <c r="I209" i="2"/>
  <c r="H209" i="2"/>
  <c r="G209" i="2"/>
  <c r="F209" i="2"/>
  <c r="J208" i="2"/>
  <c r="I208" i="2"/>
  <c r="H208" i="2"/>
  <c r="G208" i="2"/>
  <c r="F208" i="2"/>
  <c r="J207" i="2"/>
  <c r="I207" i="2"/>
  <c r="H207" i="2"/>
  <c r="G207" i="2"/>
  <c r="F207" i="2"/>
  <c r="J206" i="2"/>
  <c r="I206" i="2"/>
  <c r="H206" i="2"/>
  <c r="G206" i="2"/>
  <c r="F206" i="2"/>
  <c r="J205" i="2"/>
  <c r="I205" i="2"/>
  <c r="H205" i="2"/>
  <c r="G205" i="2"/>
  <c r="F205" i="2"/>
  <c r="J204" i="2"/>
  <c r="I204" i="2"/>
  <c r="H204" i="2"/>
  <c r="G204" i="2"/>
  <c r="F204" i="2"/>
  <c r="J203" i="2"/>
  <c r="I203" i="2"/>
  <c r="H203" i="2"/>
  <c r="G203" i="2"/>
  <c r="F203" i="2"/>
  <c r="J202" i="2"/>
  <c r="I202" i="2"/>
  <c r="H202" i="2"/>
  <c r="G202" i="2"/>
  <c r="F202" i="2"/>
  <c r="J201" i="2"/>
  <c r="I201" i="2"/>
  <c r="H201" i="2"/>
  <c r="G201" i="2"/>
  <c r="F201" i="2"/>
  <c r="J200" i="2"/>
  <c r="I200" i="2"/>
  <c r="H200" i="2"/>
  <c r="G200" i="2"/>
  <c r="F200" i="2"/>
  <c r="J199" i="2"/>
  <c r="I199" i="2"/>
  <c r="H199" i="2"/>
  <c r="G199" i="2"/>
  <c r="F199" i="2"/>
  <c r="J198" i="2"/>
  <c r="I198" i="2"/>
  <c r="H198" i="2"/>
  <c r="G198" i="2"/>
  <c r="F198" i="2"/>
  <c r="J197" i="2"/>
  <c r="I197" i="2"/>
  <c r="H197" i="2"/>
  <c r="G197" i="2"/>
  <c r="F197" i="2"/>
  <c r="J196" i="2"/>
  <c r="I196" i="2"/>
  <c r="H196" i="2"/>
  <c r="G196" i="2"/>
  <c r="F196" i="2"/>
  <c r="J195" i="2"/>
  <c r="I195" i="2"/>
  <c r="H195" i="2"/>
  <c r="G195" i="2"/>
  <c r="F195" i="2"/>
  <c r="J194" i="2"/>
  <c r="I194" i="2"/>
  <c r="H194" i="2"/>
  <c r="G194" i="2"/>
  <c r="F194" i="2"/>
  <c r="J193" i="2"/>
  <c r="I193" i="2"/>
  <c r="H193" i="2"/>
  <c r="G193" i="2"/>
  <c r="F193" i="2"/>
  <c r="J192" i="2"/>
  <c r="I192" i="2"/>
  <c r="H192" i="2"/>
  <c r="G192" i="2"/>
  <c r="F192" i="2"/>
  <c r="J191" i="2"/>
  <c r="I191" i="2"/>
  <c r="H191" i="2"/>
  <c r="G191" i="2"/>
  <c r="F191" i="2"/>
  <c r="J190" i="2"/>
  <c r="I190" i="2"/>
  <c r="H190" i="2"/>
  <c r="G190" i="2"/>
  <c r="F190" i="2"/>
  <c r="J189" i="2"/>
  <c r="I189" i="2"/>
  <c r="H189" i="2"/>
  <c r="G189" i="2"/>
  <c r="F189" i="2"/>
  <c r="J188" i="2"/>
  <c r="I188" i="2"/>
  <c r="H188" i="2"/>
  <c r="G188" i="2"/>
  <c r="F188" i="2"/>
  <c r="J187" i="2"/>
  <c r="I187" i="2"/>
  <c r="H187" i="2"/>
  <c r="G187" i="2"/>
  <c r="F187" i="2"/>
  <c r="J186" i="2"/>
  <c r="I186" i="2"/>
  <c r="H186" i="2"/>
  <c r="G186" i="2"/>
  <c r="F186" i="2"/>
  <c r="J185" i="2"/>
  <c r="I185" i="2"/>
  <c r="H185" i="2"/>
  <c r="G185" i="2"/>
  <c r="F185" i="2"/>
  <c r="J184" i="2"/>
  <c r="I184" i="2"/>
  <c r="H184" i="2"/>
  <c r="G184" i="2"/>
  <c r="F184" i="2"/>
  <c r="J183" i="2"/>
  <c r="I183" i="2"/>
  <c r="H183" i="2"/>
  <c r="G183" i="2"/>
  <c r="F183" i="2"/>
  <c r="J182" i="2"/>
  <c r="I182" i="2"/>
  <c r="H182" i="2"/>
  <c r="G182" i="2"/>
  <c r="F182" i="2"/>
  <c r="J181" i="2"/>
  <c r="I181" i="2"/>
  <c r="H181" i="2"/>
  <c r="G181" i="2"/>
  <c r="F181" i="2"/>
  <c r="J180" i="2"/>
  <c r="I180" i="2"/>
  <c r="H180" i="2"/>
  <c r="G180" i="2"/>
  <c r="F180" i="2"/>
  <c r="J179" i="2"/>
  <c r="I179" i="2"/>
  <c r="H179" i="2"/>
  <c r="G179" i="2"/>
  <c r="F179" i="2"/>
  <c r="J178" i="2"/>
  <c r="I178" i="2"/>
  <c r="H178" i="2"/>
  <c r="G178" i="2"/>
  <c r="F178" i="2"/>
  <c r="J177" i="2"/>
  <c r="I177" i="2"/>
  <c r="H177" i="2"/>
  <c r="G177" i="2"/>
  <c r="F177" i="2"/>
  <c r="J176" i="2"/>
  <c r="I176" i="2"/>
  <c r="H176" i="2"/>
  <c r="G176" i="2"/>
  <c r="F176" i="2"/>
  <c r="J175" i="2"/>
  <c r="I175" i="2"/>
  <c r="H175" i="2"/>
  <c r="G175" i="2"/>
  <c r="F175" i="2"/>
  <c r="J174" i="2"/>
  <c r="I174" i="2"/>
  <c r="H174" i="2"/>
  <c r="G174" i="2"/>
  <c r="F174" i="2"/>
  <c r="J173" i="2"/>
  <c r="I173" i="2"/>
  <c r="H173" i="2"/>
  <c r="G173" i="2"/>
  <c r="F173" i="2"/>
  <c r="J172" i="2"/>
  <c r="I172" i="2"/>
  <c r="H172" i="2"/>
  <c r="G172" i="2"/>
  <c r="F172" i="2"/>
  <c r="J171" i="2"/>
  <c r="I171" i="2"/>
  <c r="H171" i="2"/>
  <c r="G171" i="2"/>
  <c r="F171" i="2"/>
  <c r="J170" i="2"/>
  <c r="I170" i="2"/>
  <c r="H170" i="2"/>
  <c r="G170" i="2"/>
  <c r="F170" i="2"/>
  <c r="J169" i="2"/>
  <c r="I169" i="2"/>
  <c r="H169" i="2"/>
  <c r="G169" i="2"/>
  <c r="F169" i="2"/>
  <c r="J168" i="2"/>
  <c r="I168" i="2"/>
  <c r="H168" i="2"/>
  <c r="G168" i="2"/>
  <c r="F168" i="2"/>
  <c r="J167" i="2"/>
  <c r="I167" i="2"/>
  <c r="H167" i="2"/>
  <c r="G167" i="2"/>
  <c r="F167" i="2"/>
  <c r="J166" i="2"/>
  <c r="I166" i="2"/>
  <c r="H166" i="2"/>
  <c r="G166" i="2"/>
  <c r="F166" i="2"/>
  <c r="J165" i="2"/>
  <c r="I165" i="2"/>
  <c r="H165" i="2"/>
  <c r="G165" i="2"/>
  <c r="F165" i="2"/>
  <c r="J164" i="2"/>
  <c r="I164" i="2"/>
  <c r="H164" i="2"/>
  <c r="G164" i="2"/>
  <c r="F164" i="2"/>
  <c r="J163" i="2"/>
  <c r="I163" i="2"/>
  <c r="H163" i="2"/>
  <c r="G163" i="2"/>
  <c r="F163" i="2"/>
  <c r="J162" i="2"/>
  <c r="I162" i="2"/>
  <c r="H162" i="2"/>
  <c r="G162" i="2"/>
  <c r="F162" i="2"/>
  <c r="J161" i="2"/>
  <c r="I161" i="2"/>
  <c r="H161" i="2"/>
  <c r="G161" i="2"/>
  <c r="F161" i="2"/>
  <c r="J160" i="2"/>
  <c r="I160" i="2"/>
  <c r="H160" i="2"/>
  <c r="G160" i="2"/>
  <c r="F160" i="2"/>
  <c r="J159" i="2"/>
  <c r="I159" i="2"/>
  <c r="H159" i="2"/>
  <c r="G159" i="2"/>
  <c r="F159" i="2"/>
  <c r="J158" i="2"/>
  <c r="I158" i="2"/>
  <c r="H158" i="2"/>
  <c r="G158" i="2"/>
  <c r="F158" i="2"/>
  <c r="J157" i="2"/>
  <c r="I157" i="2"/>
  <c r="H157" i="2"/>
  <c r="G157" i="2"/>
  <c r="F157" i="2"/>
  <c r="J156" i="2"/>
  <c r="I156" i="2"/>
  <c r="H156" i="2"/>
  <c r="G156" i="2"/>
  <c r="F156" i="2"/>
  <c r="J155" i="2"/>
  <c r="I155" i="2"/>
  <c r="H155" i="2"/>
  <c r="G155" i="2"/>
  <c r="F155" i="2"/>
  <c r="J154" i="2"/>
  <c r="I154" i="2"/>
  <c r="H154" i="2"/>
  <c r="G154" i="2"/>
  <c r="F154" i="2"/>
  <c r="J153" i="2"/>
  <c r="I153" i="2"/>
  <c r="H153" i="2"/>
  <c r="G153" i="2"/>
  <c r="F153" i="2"/>
  <c r="J152" i="2"/>
  <c r="I152" i="2"/>
  <c r="H152" i="2"/>
  <c r="G152" i="2"/>
  <c r="F152" i="2"/>
  <c r="J151" i="2"/>
  <c r="I151" i="2"/>
  <c r="H151" i="2"/>
  <c r="G151" i="2"/>
  <c r="F151" i="2"/>
  <c r="J150" i="2"/>
  <c r="I150" i="2"/>
  <c r="H150" i="2"/>
  <c r="G150" i="2"/>
  <c r="F150" i="2"/>
  <c r="J149" i="2"/>
  <c r="I149" i="2"/>
  <c r="H149" i="2"/>
  <c r="G149" i="2"/>
  <c r="F149" i="2"/>
  <c r="J148" i="2"/>
  <c r="I148" i="2"/>
  <c r="H148" i="2"/>
  <c r="G148" i="2"/>
  <c r="F148" i="2"/>
  <c r="J147" i="2"/>
  <c r="I147" i="2"/>
  <c r="H147" i="2"/>
  <c r="G147" i="2"/>
  <c r="F147" i="2"/>
  <c r="J146" i="2"/>
  <c r="I146" i="2"/>
  <c r="H146" i="2"/>
  <c r="G146" i="2"/>
  <c r="F146" i="2"/>
  <c r="J145" i="2"/>
  <c r="I145" i="2"/>
  <c r="H145" i="2"/>
  <c r="G145" i="2"/>
  <c r="F145" i="2"/>
  <c r="J144" i="2"/>
  <c r="I144" i="2"/>
  <c r="H144" i="2"/>
  <c r="G144" i="2"/>
  <c r="F144" i="2"/>
  <c r="J143" i="2"/>
  <c r="I143" i="2"/>
  <c r="H143" i="2"/>
  <c r="G143" i="2"/>
  <c r="F143" i="2"/>
  <c r="J142" i="2"/>
  <c r="I142" i="2"/>
  <c r="H142" i="2"/>
  <c r="G142" i="2"/>
  <c r="F142" i="2"/>
  <c r="J141" i="2"/>
  <c r="I141" i="2"/>
  <c r="H141" i="2"/>
  <c r="G141" i="2"/>
  <c r="F141" i="2"/>
  <c r="J140" i="2"/>
  <c r="I140" i="2"/>
  <c r="H140" i="2"/>
  <c r="G140" i="2"/>
  <c r="F140" i="2"/>
  <c r="J139" i="2"/>
  <c r="I139" i="2"/>
  <c r="H139" i="2"/>
  <c r="G139" i="2"/>
  <c r="F139" i="2"/>
  <c r="J138" i="2"/>
  <c r="I138" i="2"/>
  <c r="H138" i="2"/>
  <c r="G138" i="2"/>
  <c r="F138" i="2"/>
  <c r="J137" i="2"/>
  <c r="I137" i="2"/>
  <c r="H137" i="2"/>
  <c r="G137" i="2"/>
  <c r="F137" i="2"/>
  <c r="J136" i="2"/>
  <c r="I136" i="2"/>
  <c r="H136" i="2"/>
  <c r="G136" i="2"/>
  <c r="F136" i="2"/>
  <c r="J135" i="2"/>
  <c r="I135" i="2"/>
  <c r="H135" i="2"/>
  <c r="G135" i="2"/>
  <c r="F135" i="2"/>
  <c r="J134" i="2"/>
  <c r="I134" i="2"/>
  <c r="H134" i="2"/>
  <c r="G134" i="2"/>
  <c r="F134" i="2"/>
  <c r="J133" i="2"/>
  <c r="I133" i="2"/>
  <c r="H133" i="2"/>
  <c r="G133" i="2"/>
  <c r="F133" i="2"/>
  <c r="J132" i="2"/>
  <c r="I132" i="2"/>
  <c r="H132" i="2"/>
  <c r="G132" i="2"/>
  <c r="F132" i="2"/>
  <c r="J131" i="2"/>
  <c r="I131" i="2"/>
  <c r="H131" i="2"/>
  <c r="G131" i="2"/>
  <c r="F131" i="2"/>
  <c r="J130" i="2"/>
  <c r="I130" i="2"/>
  <c r="H130" i="2"/>
  <c r="G130" i="2"/>
  <c r="F130" i="2"/>
  <c r="J129" i="2"/>
  <c r="I129" i="2"/>
  <c r="H129" i="2"/>
  <c r="G129" i="2"/>
  <c r="F129" i="2"/>
  <c r="J128" i="2"/>
  <c r="I128" i="2"/>
  <c r="H128" i="2"/>
  <c r="G128" i="2"/>
  <c r="F128" i="2"/>
  <c r="J127" i="2"/>
  <c r="I127" i="2"/>
  <c r="H127" i="2"/>
  <c r="G127" i="2"/>
  <c r="F127" i="2"/>
  <c r="J126" i="2"/>
  <c r="I126" i="2"/>
  <c r="H126" i="2"/>
  <c r="G126" i="2"/>
  <c r="F126" i="2"/>
  <c r="J125" i="2"/>
  <c r="I125" i="2"/>
  <c r="H125" i="2"/>
  <c r="G125" i="2"/>
  <c r="F125" i="2"/>
  <c r="J124" i="2"/>
  <c r="I124" i="2"/>
  <c r="H124" i="2"/>
  <c r="G124" i="2"/>
  <c r="F124" i="2"/>
  <c r="J123" i="2"/>
  <c r="I123" i="2"/>
  <c r="H123" i="2"/>
  <c r="G123" i="2"/>
  <c r="F123" i="2"/>
  <c r="J122" i="2"/>
  <c r="I122" i="2"/>
  <c r="H122" i="2"/>
  <c r="G122" i="2"/>
  <c r="F122" i="2"/>
  <c r="J121" i="2"/>
  <c r="I121" i="2"/>
  <c r="H121" i="2"/>
  <c r="G121" i="2"/>
  <c r="F121" i="2"/>
  <c r="J120" i="2"/>
  <c r="I120" i="2"/>
  <c r="H120" i="2"/>
  <c r="G120" i="2"/>
  <c r="F120" i="2"/>
  <c r="J119" i="2"/>
  <c r="I119" i="2"/>
  <c r="H119" i="2"/>
  <c r="G119" i="2"/>
  <c r="F119" i="2"/>
  <c r="J118" i="2"/>
  <c r="I118" i="2"/>
  <c r="H118" i="2"/>
  <c r="G118" i="2"/>
  <c r="F118" i="2"/>
  <c r="J117" i="2"/>
  <c r="I117" i="2"/>
  <c r="H117" i="2"/>
  <c r="G117" i="2"/>
  <c r="F117" i="2"/>
  <c r="J116" i="2"/>
  <c r="I116" i="2"/>
  <c r="H116" i="2"/>
  <c r="G116" i="2"/>
  <c r="F116" i="2"/>
  <c r="J115" i="2"/>
  <c r="I115" i="2"/>
  <c r="H115" i="2"/>
  <c r="G115" i="2"/>
  <c r="F115" i="2"/>
  <c r="J114" i="2"/>
  <c r="I114" i="2"/>
  <c r="H114" i="2"/>
  <c r="G114" i="2"/>
  <c r="F114" i="2"/>
  <c r="J113" i="2"/>
  <c r="I113" i="2"/>
  <c r="H113" i="2"/>
  <c r="G113" i="2"/>
  <c r="F113" i="2"/>
  <c r="J112" i="2"/>
  <c r="I112" i="2"/>
  <c r="H112" i="2"/>
  <c r="G112" i="2"/>
  <c r="F112" i="2"/>
  <c r="J111" i="2"/>
  <c r="I111" i="2"/>
  <c r="H111" i="2"/>
  <c r="G111" i="2"/>
  <c r="F111" i="2"/>
  <c r="J110" i="2"/>
  <c r="I110" i="2"/>
  <c r="H110" i="2"/>
  <c r="G110" i="2"/>
  <c r="F110" i="2"/>
  <c r="J109" i="2"/>
  <c r="I109" i="2"/>
  <c r="H109" i="2"/>
  <c r="G109" i="2"/>
  <c r="F109" i="2"/>
  <c r="J108" i="2"/>
  <c r="I108" i="2"/>
  <c r="H108" i="2"/>
  <c r="G108" i="2"/>
  <c r="F108" i="2"/>
  <c r="J107" i="2"/>
  <c r="I107" i="2"/>
  <c r="H107" i="2"/>
  <c r="G107" i="2"/>
  <c r="F107" i="2"/>
  <c r="J106" i="2"/>
  <c r="I106" i="2"/>
  <c r="H106" i="2"/>
  <c r="G106" i="2"/>
  <c r="F106" i="2"/>
  <c r="J105" i="2"/>
  <c r="I105" i="2"/>
  <c r="H105" i="2"/>
  <c r="G105" i="2"/>
  <c r="F105" i="2"/>
  <c r="J104" i="2"/>
  <c r="I104" i="2"/>
  <c r="H104" i="2"/>
  <c r="G104" i="2"/>
  <c r="F104" i="2"/>
  <c r="J103" i="2"/>
  <c r="I103" i="2"/>
  <c r="H103" i="2"/>
  <c r="G103" i="2"/>
  <c r="F103" i="2"/>
  <c r="J102" i="2"/>
  <c r="I102" i="2"/>
  <c r="H102" i="2"/>
  <c r="G102" i="2"/>
  <c r="F102" i="2"/>
  <c r="J101" i="2"/>
  <c r="I101" i="2"/>
  <c r="H101" i="2"/>
  <c r="G101" i="2"/>
  <c r="F101" i="2"/>
  <c r="J100" i="2"/>
  <c r="I100" i="2"/>
  <c r="H100" i="2"/>
  <c r="G100" i="2"/>
  <c r="F100" i="2"/>
  <c r="J99" i="2"/>
  <c r="I99" i="2"/>
  <c r="H99" i="2"/>
  <c r="G99" i="2"/>
  <c r="F99" i="2"/>
  <c r="J98" i="2"/>
  <c r="I98" i="2"/>
  <c r="H98" i="2"/>
  <c r="G98" i="2"/>
  <c r="F98" i="2"/>
  <c r="J97" i="2"/>
  <c r="I97" i="2"/>
  <c r="H97" i="2"/>
  <c r="G97" i="2"/>
  <c r="F97" i="2"/>
  <c r="J96" i="2"/>
  <c r="I96" i="2"/>
  <c r="H96" i="2"/>
  <c r="G96" i="2"/>
  <c r="F96" i="2"/>
  <c r="J95" i="2"/>
  <c r="I95" i="2"/>
  <c r="H95" i="2"/>
  <c r="G95" i="2"/>
  <c r="F95" i="2"/>
  <c r="J94" i="2"/>
  <c r="I94" i="2"/>
  <c r="H94" i="2"/>
  <c r="G94" i="2"/>
  <c r="F94" i="2"/>
  <c r="J93" i="2"/>
  <c r="I93" i="2"/>
  <c r="H93" i="2"/>
  <c r="G93" i="2"/>
  <c r="F93" i="2"/>
  <c r="J92" i="2"/>
  <c r="I92" i="2"/>
  <c r="H92" i="2"/>
  <c r="G92" i="2"/>
  <c r="F92" i="2"/>
  <c r="J91" i="2"/>
  <c r="I91" i="2"/>
  <c r="H91" i="2"/>
  <c r="G91" i="2"/>
  <c r="F91" i="2"/>
  <c r="J90" i="2"/>
  <c r="I90" i="2"/>
  <c r="H90" i="2"/>
  <c r="G90" i="2"/>
  <c r="F90" i="2"/>
  <c r="J89" i="2"/>
  <c r="I89" i="2"/>
  <c r="H89" i="2"/>
  <c r="G89" i="2"/>
  <c r="F89" i="2"/>
  <c r="J88" i="2"/>
  <c r="I88" i="2"/>
  <c r="H88" i="2"/>
  <c r="G88" i="2"/>
  <c r="F88" i="2"/>
  <c r="J87" i="2"/>
  <c r="I87" i="2"/>
  <c r="H87" i="2"/>
  <c r="G87" i="2"/>
  <c r="F87" i="2"/>
  <c r="J86" i="2"/>
  <c r="I86" i="2"/>
  <c r="H86" i="2"/>
  <c r="G86" i="2"/>
  <c r="F86" i="2"/>
  <c r="J85" i="2"/>
  <c r="I85" i="2"/>
  <c r="H85" i="2"/>
  <c r="G85" i="2"/>
  <c r="F85" i="2"/>
  <c r="J84" i="2"/>
  <c r="I84" i="2"/>
  <c r="H84" i="2"/>
  <c r="G84" i="2"/>
  <c r="F84" i="2"/>
  <c r="J83" i="2"/>
  <c r="I83" i="2"/>
  <c r="H83" i="2"/>
  <c r="G83" i="2"/>
  <c r="F83" i="2"/>
  <c r="J82" i="2"/>
  <c r="I82" i="2"/>
  <c r="H82" i="2"/>
  <c r="G82" i="2"/>
  <c r="F82" i="2"/>
  <c r="J81" i="2"/>
  <c r="I81" i="2"/>
  <c r="H81" i="2"/>
  <c r="G81" i="2"/>
  <c r="F81" i="2"/>
  <c r="J80" i="2"/>
  <c r="I80" i="2"/>
  <c r="H80" i="2"/>
  <c r="G80" i="2"/>
  <c r="F80" i="2"/>
  <c r="J79" i="2"/>
  <c r="I79" i="2"/>
  <c r="H79" i="2"/>
  <c r="G79" i="2"/>
  <c r="F79" i="2"/>
  <c r="J78" i="2"/>
  <c r="I78" i="2"/>
  <c r="H78" i="2"/>
  <c r="G78" i="2"/>
  <c r="F78" i="2"/>
  <c r="J77" i="2"/>
  <c r="I77" i="2"/>
  <c r="H77" i="2"/>
  <c r="G77" i="2"/>
  <c r="F77" i="2"/>
  <c r="J76" i="2"/>
  <c r="I76" i="2"/>
  <c r="H76" i="2"/>
  <c r="G76" i="2"/>
  <c r="F76" i="2"/>
  <c r="J75" i="2"/>
  <c r="I75" i="2"/>
  <c r="H75" i="2"/>
  <c r="G75" i="2"/>
  <c r="F75" i="2"/>
  <c r="J74" i="2"/>
  <c r="I74" i="2"/>
  <c r="H74" i="2"/>
  <c r="G74" i="2"/>
  <c r="F74" i="2"/>
  <c r="J73" i="2"/>
  <c r="I73" i="2"/>
  <c r="H73" i="2"/>
  <c r="G73" i="2"/>
  <c r="F73" i="2"/>
  <c r="J72" i="2"/>
  <c r="I72" i="2"/>
  <c r="H72" i="2"/>
  <c r="G72" i="2"/>
  <c r="F72" i="2"/>
  <c r="J71" i="2"/>
  <c r="I71" i="2"/>
  <c r="H71" i="2"/>
  <c r="G71" i="2"/>
  <c r="F71" i="2"/>
  <c r="J70" i="2"/>
  <c r="I70" i="2"/>
  <c r="H70" i="2"/>
  <c r="G70" i="2"/>
  <c r="F70" i="2"/>
  <c r="J69" i="2"/>
  <c r="I69" i="2"/>
  <c r="H69" i="2"/>
  <c r="G69" i="2"/>
  <c r="F69" i="2"/>
  <c r="J68" i="2"/>
  <c r="I68" i="2"/>
  <c r="H68" i="2"/>
  <c r="G68" i="2"/>
  <c r="F68" i="2"/>
  <c r="J67" i="2"/>
  <c r="I67" i="2"/>
  <c r="H67" i="2"/>
  <c r="G67" i="2"/>
  <c r="F67" i="2"/>
  <c r="J66" i="2"/>
  <c r="I66" i="2"/>
  <c r="H66" i="2"/>
  <c r="G66" i="2"/>
  <c r="F66" i="2"/>
  <c r="J65" i="2"/>
  <c r="I65" i="2"/>
  <c r="H65" i="2"/>
  <c r="G65" i="2"/>
  <c r="F65" i="2"/>
  <c r="J64" i="2"/>
  <c r="I64" i="2"/>
  <c r="H64" i="2"/>
  <c r="G64" i="2"/>
  <c r="F64" i="2"/>
  <c r="J63" i="2"/>
  <c r="I63" i="2"/>
  <c r="H63" i="2"/>
  <c r="G63" i="2"/>
  <c r="F63" i="2"/>
  <c r="J62" i="2"/>
  <c r="I62" i="2"/>
  <c r="H62" i="2"/>
  <c r="G62" i="2"/>
  <c r="F62" i="2"/>
  <c r="J61" i="2"/>
  <c r="I61" i="2"/>
  <c r="H61" i="2"/>
  <c r="G61" i="2"/>
  <c r="F61" i="2"/>
  <c r="J60" i="2"/>
  <c r="I60" i="2"/>
  <c r="H60" i="2"/>
  <c r="G60" i="2"/>
  <c r="F60" i="2"/>
  <c r="J59" i="2"/>
  <c r="I59" i="2"/>
  <c r="H59" i="2"/>
  <c r="G59" i="2"/>
  <c r="F59" i="2"/>
  <c r="J58" i="2"/>
  <c r="I58" i="2"/>
  <c r="H58" i="2"/>
  <c r="G58" i="2"/>
  <c r="F58" i="2"/>
  <c r="J57" i="2"/>
  <c r="I57" i="2"/>
  <c r="H57" i="2"/>
  <c r="G57" i="2"/>
  <c r="F57" i="2"/>
  <c r="J56" i="2"/>
  <c r="I56" i="2"/>
  <c r="H56" i="2"/>
  <c r="G56" i="2"/>
  <c r="F56" i="2"/>
  <c r="J55" i="2"/>
  <c r="I55" i="2"/>
  <c r="H55" i="2"/>
  <c r="G55" i="2"/>
  <c r="F55" i="2"/>
  <c r="J54" i="2"/>
  <c r="I54" i="2"/>
  <c r="H54" i="2"/>
  <c r="G54" i="2"/>
  <c r="F54" i="2"/>
  <c r="J53" i="2"/>
  <c r="I53" i="2"/>
  <c r="H53" i="2"/>
  <c r="G53" i="2"/>
  <c r="F53" i="2"/>
  <c r="J52" i="2"/>
  <c r="I52" i="2"/>
  <c r="H52" i="2"/>
  <c r="G52" i="2"/>
  <c r="F52" i="2"/>
  <c r="J51" i="2"/>
  <c r="I51" i="2"/>
  <c r="H51" i="2"/>
  <c r="G51" i="2"/>
  <c r="F51" i="2"/>
  <c r="J50" i="2"/>
  <c r="I50" i="2"/>
  <c r="H50" i="2"/>
  <c r="G50" i="2"/>
  <c r="F50" i="2"/>
  <c r="J49" i="2"/>
  <c r="I49" i="2"/>
  <c r="H49" i="2"/>
  <c r="G49" i="2"/>
  <c r="F49" i="2"/>
  <c r="J48" i="2"/>
  <c r="I48" i="2"/>
  <c r="H48" i="2"/>
  <c r="G48" i="2"/>
  <c r="F48" i="2"/>
  <c r="J47" i="2"/>
  <c r="I47" i="2"/>
  <c r="H47" i="2"/>
  <c r="G47" i="2"/>
  <c r="F47" i="2"/>
  <c r="J46" i="2"/>
  <c r="I46" i="2"/>
  <c r="H46" i="2"/>
  <c r="G46" i="2"/>
  <c r="F46" i="2"/>
  <c r="J45" i="2"/>
  <c r="I45" i="2"/>
  <c r="H45" i="2"/>
  <c r="G45" i="2"/>
  <c r="F45" i="2"/>
  <c r="J44" i="2"/>
  <c r="I44" i="2"/>
  <c r="H44" i="2"/>
  <c r="G44" i="2"/>
  <c r="F44" i="2"/>
  <c r="J43" i="2"/>
  <c r="I43" i="2"/>
  <c r="H43" i="2"/>
  <c r="G43" i="2"/>
  <c r="F43" i="2"/>
  <c r="J42" i="2"/>
  <c r="I42" i="2"/>
  <c r="H42" i="2"/>
  <c r="G42" i="2"/>
  <c r="F42" i="2"/>
  <c r="J41" i="2"/>
  <c r="I41" i="2"/>
  <c r="H41" i="2"/>
  <c r="G41" i="2"/>
  <c r="F41" i="2"/>
  <c r="J40" i="2"/>
  <c r="I40" i="2"/>
  <c r="H40" i="2"/>
  <c r="G40" i="2"/>
  <c r="F40" i="2"/>
  <c r="J39" i="2"/>
  <c r="I39" i="2"/>
  <c r="H39" i="2"/>
  <c r="G39" i="2"/>
  <c r="F39" i="2"/>
  <c r="J38" i="2"/>
  <c r="I38" i="2"/>
  <c r="H38" i="2"/>
  <c r="G38" i="2"/>
  <c r="F38" i="2"/>
  <c r="J37" i="2"/>
  <c r="I37" i="2"/>
  <c r="H37" i="2"/>
  <c r="G37" i="2"/>
  <c r="F37" i="2"/>
  <c r="J36" i="2"/>
  <c r="I36" i="2"/>
  <c r="H36" i="2"/>
  <c r="G36" i="2"/>
  <c r="F36" i="2"/>
  <c r="J35" i="2"/>
  <c r="I35" i="2"/>
  <c r="H35" i="2"/>
  <c r="G35" i="2"/>
  <c r="F35" i="2"/>
  <c r="J34" i="2"/>
  <c r="I34" i="2"/>
  <c r="H34" i="2"/>
  <c r="G34" i="2"/>
  <c r="F34" i="2"/>
  <c r="J33" i="2"/>
  <c r="I33" i="2"/>
  <c r="H33" i="2"/>
  <c r="G33" i="2"/>
  <c r="F33" i="2"/>
  <c r="J32" i="2"/>
  <c r="I32" i="2"/>
  <c r="H32" i="2"/>
  <c r="G32" i="2"/>
  <c r="F32" i="2"/>
  <c r="J31" i="2"/>
  <c r="I31" i="2"/>
  <c r="H31" i="2"/>
  <c r="G31" i="2"/>
  <c r="F31" i="2"/>
  <c r="J30" i="2"/>
  <c r="I30" i="2"/>
  <c r="H30" i="2"/>
  <c r="G30" i="2"/>
  <c r="F30" i="2"/>
  <c r="J29" i="2"/>
  <c r="I29" i="2"/>
  <c r="H29" i="2"/>
  <c r="G29" i="2"/>
  <c r="F29" i="2"/>
  <c r="J28" i="2"/>
  <c r="I28" i="2"/>
  <c r="H28" i="2"/>
  <c r="G28" i="2"/>
  <c r="F28" i="2"/>
  <c r="J27" i="2"/>
  <c r="I27" i="2"/>
  <c r="H27" i="2"/>
  <c r="G27" i="2"/>
  <c r="F27" i="2"/>
  <c r="J26" i="2"/>
  <c r="I26" i="2"/>
  <c r="H26" i="2"/>
  <c r="G26" i="2"/>
  <c r="F26" i="2"/>
  <c r="J25" i="2"/>
  <c r="I25" i="2"/>
  <c r="H25" i="2"/>
  <c r="G25" i="2"/>
  <c r="F25" i="2"/>
  <c r="J24" i="2"/>
  <c r="I24" i="2"/>
  <c r="H24" i="2"/>
  <c r="G24" i="2"/>
  <c r="F24" i="2"/>
  <c r="J23" i="2"/>
  <c r="I23" i="2"/>
  <c r="H23" i="2"/>
  <c r="G23" i="2"/>
  <c r="F23" i="2"/>
  <c r="J22" i="2"/>
  <c r="I22" i="2"/>
  <c r="H22" i="2"/>
  <c r="G22" i="2"/>
  <c r="F22" i="2"/>
  <c r="J21" i="2"/>
  <c r="I21" i="2"/>
  <c r="H21" i="2"/>
  <c r="G21" i="2"/>
  <c r="F21" i="2"/>
  <c r="J20" i="2"/>
  <c r="I20" i="2"/>
  <c r="H20" i="2"/>
  <c r="G20" i="2"/>
  <c r="F20" i="2"/>
  <c r="J19" i="2"/>
  <c r="I19" i="2"/>
  <c r="H19" i="2"/>
  <c r="G19" i="2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I15" i="2"/>
  <c r="H15" i="2"/>
  <c r="G15" i="2"/>
  <c r="F15" i="2"/>
  <c r="J14" i="2"/>
  <c r="I14" i="2"/>
  <c r="H14" i="2"/>
  <c r="G14" i="2"/>
  <c r="F14" i="2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J4" i="2"/>
  <c r="I4" i="2"/>
  <c r="H4" i="2"/>
  <c r="G4" i="2"/>
  <c r="F4" i="2"/>
</calcChain>
</file>

<file path=xl/sharedStrings.xml><?xml version="1.0" encoding="utf-8"?>
<sst xmlns="http://schemas.openxmlformats.org/spreadsheetml/2006/main" count="661" uniqueCount="268">
  <si>
    <t>CHHU — SYNTHÈSE PAR SERVICE</t>
  </si>
  <si>
    <t>Document unique fusionnant les 8 grilles de service du 4 septembre 2026.  La feuille « Grille CHHU » contient tous les actes.</t>
  </si>
  <si>
    <t>Service</t>
  </si>
  <si>
    <t>Nb actes</t>
  </si>
  <si>
    <t>Dont exception B/C (jaune)</t>
  </si>
  <si>
    <t>Fichier source</t>
  </si>
  <si>
    <t>Feuille</t>
  </si>
  <si>
    <t>CHIRURGIE</t>
  </si>
  <si>
    <t>Proposition Grille tarifaire_Chirurgie_v.1.0_04092026.xlsx</t>
  </si>
  <si>
    <t>Grille CHHU</t>
  </si>
  <si>
    <t>GYNECO-OBSTETRIQUE</t>
  </si>
  <si>
    <t>Proposition Grille tarifaire_Gynobs_v.1.0_04092026.xlsx</t>
  </si>
  <si>
    <t>MEDECINE INTERNE</t>
  </si>
  <si>
    <t>Proposition Grille tarifaire_Médecine interne_v.1.0_04092026.xlsx</t>
  </si>
  <si>
    <t>PEDIATRIE</t>
  </si>
  <si>
    <t>Proposition Grille tarifaire_Pédiatrie_v.1.0_04092026.xlsx</t>
  </si>
  <si>
    <t>URGENCES &amp; REANIMATION</t>
  </si>
  <si>
    <t>Proposition Grille tarifaire_Urgences &amp; Réanimation_v.1.0_04092026.xlsx</t>
  </si>
  <si>
    <t>NURSING</t>
  </si>
  <si>
    <t>Proposition Grille tarifaire_Nursing.xlsx</t>
  </si>
  <si>
    <t>LABORATOIRE</t>
  </si>
  <si>
    <t>Proposition Grille tarifaire_Laboratoire_v.1.0_04092026.xlsx</t>
  </si>
  <si>
    <t>IMAGERIE</t>
  </si>
  <si>
    <t>Imagerie - grille.xlsx</t>
  </si>
  <si>
    <t>TOTAL</t>
  </si>
  <si>
    <t>Règle des catégories : A0 ×0,6 (indigents, preuve obligatoire) • A1 ×0,8 (mutuelles locales) • A ×1 (tarif standard, colonne saisie) • B ×1,5 (privé) sauf exception jaune ×1,2 • C ×2 (sponsorisé / assurances) sauf exception jaune ×1,4 (imagerie et actes marqués par les services). Taux de change utilisé dans les formules : 1 USD = 2 300 CDF.</t>
  </si>
  <si>
    <t>CHHU — GRILLE TARIFAIRE CONSOLIDÉE  (tous services)</t>
  </si>
  <si>
    <t>269 actes  •  Cat A = saisie (CDF)  •  USD = CDF / 2 300  •  A0 = ×0,6  •  A1 = ×0,8  •  Cat B/C : ×1,5 / ×2 sauf actes en jaune (exception concurrence : B ×1,2 / C ×1,4)  •  Formules en dur dans les colonnes calculées</t>
  </si>
  <si>
    <t>N°</t>
  </si>
  <si>
    <t>Sous-catégorie</t>
  </si>
  <si>
    <t>Acte</t>
  </si>
  <si>
    <t>Cat A (CDF)</t>
  </si>
  <si>
    <t>Cat A (USD)</t>
  </si>
  <si>
    <t>Cat A0 × 0,6</t>
  </si>
  <si>
    <t>Cat A1 × 0,8</t>
  </si>
  <si>
    <t>Cat B</t>
  </si>
  <si>
    <t>Cat C</t>
  </si>
  <si>
    <t>Abdomens aigues chirurgicaux</t>
  </si>
  <si>
    <t>Ablation kyste synovial</t>
  </si>
  <si>
    <t>Ablation plâtre</t>
  </si>
  <si>
    <t>Anesthésie générale/heure avec intubation</t>
  </si>
  <si>
    <t>Anesthésie générale/heure sans intubation</t>
  </si>
  <si>
    <t>Anesthésie locale</t>
  </si>
  <si>
    <t>Anesthésie par bloc plexiel/loco-régional</t>
  </si>
  <si>
    <t>Anesthésie péridurale</t>
  </si>
  <si>
    <t>Anesthésie rachidienne</t>
  </si>
  <si>
    <t>Appendicectomie</t>
  </si>
  <si>
    <t>Attestation  Médicale</t>
  </si>
  <si>
    <t>Circoncision (adulte)</t>
  </si>
  <si>
    <t>Circoncision (enfant)</t>
  </si>
  <si>
    <t>Consultation médicale Jour</t>
  </si>
  <si>
    <t>Consultation médicale Nuit</t>
  </si>
  <si>
    <t>Cure d'hydrocèle</t>
  </si>
  <si>
    <t>Cystostomie</t>
  </si>
  <si>
    <t>Drainage et lavage articulaire</t>
  </si>
  <si>
    <t>Eventration</t>
  </si>
  <si>
    <t>Frein de la langue</t>
  </si>
  <si>
    <t>Hemorroidectomie</t>
  </si>
  <si>
    <t>Herniorraphie</t>
  </si>
  <si>
    <t>Hospitalisation/jour Chambre commune</t>
  </si>
  <si>
    <t>Hospitalisation/jour Chambre privée</t>
  </si>
  <si>
    <t>Infiltration</t>
  </si>
  <si>
    <t>Infiltration articulaire</t>
  </si>
  <si>
    <t>Laparotomie exploratrice</t>
  </si>
  <si>
    <t>Materiels SOP chirurgie majeure</t>
  </si>
  <si>
    <t>Materiels SOP chirurgie mineure</t>
  </si>
  <si>
    <t>Ongle incarné</t>
  </si>
  <si>
    <t>Ponction articulaire</t>
  </si>
  <si>
    <t>Ponction d’ascite</t>
  </si>
  <si>
    <t>Ponction pleurale</t>
  </si>
  <si>
    <t>Rapport médical</t>
  </si>
  <si>
    <t>Réduction et plâtre</t>
  </si>
  <si>
    <t>Soins intensifs/jour</t>
  </si>
  <si>
    <t>Sondage vésicale</t>
  </si>
  <si>
    <t>Suture + Parage</t>
  </si>
  <si>
    <t>Suture petite plaie</t>
  </si>
  <si>
    <t>Tour de salle/Médecin Assistant</t>
  </si>
  <si>
    <t>Tour de salle/Médecin Spécialiste</t>
  </si>
  <si>
    <t>Transfusion</t>
  </si>
  <si>
    <t>Voie veineuse centrale</t>
  </si>
  <si>
    <t>Ablation DIU</t>
  </si>
  <si>
    <t>Accouchement CPN externe dystocique</t>
  </si>
  <si>
    <t>Accouchement eutocique CPN externe</t>
  </si>
  <si>
    <t>Accouchement eutocique CPN externe + épisiotomie ou déchirure</t>
  </si>
  <si>
    <t>Accouchement gémellaire CPN externe</t>
  </si>
  <si>
    <t>Accouchement gémellaire interne</t>
  </si>
  <si>
    <t>Accouchement interne dystocique</t>
  </si>
  <si>
    <t>Accouchement interne eutocique</t>
  </si>
  <si>
    <t>Accouchement interne eutocique + épisiotomie ou déchirure</t>
  </si>
  <si>
    <t>Accouchement sans douleurs</t>
  </si>
  <si>
    <t>Adhésiolyse</t>
  </si>
  <si>
    <t>Amnioscopie</t>
  </si>
  <si>
    <t>Annexectomie</t>
  </si>
  <si>
    <t>Avortement complet spontané</t>
  </si>
  <si>
    <t>Biopsie de Novak</t>
  </si>
  <si>
    <t>Biopsie du col utérin</t>
  </si>
  <si>
    <t>Cerclage du col</t>
  </si>
  <si>
    <t>Coeliochirurgie</t>
  </si>
  <si>
    <t>Coelioscopie diagnostic</t>
  </si>
  <si>
    <t>Curetage compliqué</t>
  </si>
  <si>
    <t>Curetage simple (Aspiration)</t>
  </si>
  <si>
    <t>Césarienne CPN externe en urgence</t>
  </si>
  <si>
    <t>Césarienne gémellaire CPN externe</t>
  </si>
  <si>
    <t>Césarienne gémellaire interne</t>
  </si>
  <si>
    <t>Césarienne interne en urgence</t>
  </si>
  <si>
    <t>Césarienne élective + adhésiolyse</t>
  </si>
  <si>
    <t>Césarienne élective sans adhésiolyse</t>
  </si>
  <si>
    <t>Diaphragme (incision)</t>
  </si>
  <si>
    <t>Décerclage</t>
  </si>
  <si>
    <t>Electrocautérisation</t>
  </si>
  <si>
    <t>Grossesse extra utérine rompue</t>
  </si>
  <si>
    <t>Hydrotubation/séance</t>
  </si>
  <si>
    <t>Hystérectomie par voie basse</t>
  </si>
  <si>
    <t>Hystérectomie par voie haute</t>
  </si>
  <si>
    <t>Incision Abcès du sein</t>
  </si>
  <si>
    <t>Incision bartholinite ou kyste de Bartholin</t>
  </si>
  <si>
    <t>Induction mort fœtale in utéro</t>
  </si>
  <si>
    <t>Kystectomie ovarienne</t>
  </si>
  <si>
    <t>Kystectomie ovarienne rencontrée lors d’une intervention</t>
  </si>
  <si>
    <t>Kystectomie ovarienne sous coeliochirurgie</t>
  </si>
  <si>
    <t>Kystectomie vaginal</t>
  </si>
  <si>
    <t>Laparotomie exploratrice en urgence</t>
  </si>
  <si>
    <t>Mastectomie</t>
  </si>
  <si>
    <t>Monitoring fœtal (NST)</t>
  </si>
  <si>
    <t>Myomectomie</t>
  </si>
  <si>
    <t>Myomectomie + adhésiolyse + kystectomie</t>
  </si>
  <si>
    <t>Polypectomie cervicale</t>
  </si>
  <si>
    <t>Prélèvement biopsie ou frottis mammaire</t>
  </si>
  <si>
    <t>Réparation déchirure D1, D2 et D3</t>
  </si>
  <si>
    <t>Réparation déchirure périnéale complexe</t>
  </si>
  <si>
    <t>Réparation lésion traumatique génitale</t>
  </si>
  <si>
    <t>Révision utérine</t>
  </si>
  <si>
    <t>Suture secondaire</t>
  </si>
  <si>
    <t>Thermoablation</t>
  </si>
  <si>
    <t>Théobald</t>
  </si>
  <si>
    <t>Tumorectomie bénigne de vulve</t>
  </si>
  <si>
    <t>Tumorectomie du sein</t>
  </si>
  <si>
    <t>Attestation d’aptitude physique</t>
  </si>
  <si>
    <t>Coloscopie + anesthésie + produit de préparation</t>
  </si>
  <si>
    <t>ECG</t>
  </si>
  <si>
    <t>Endoscopie digestive haute + anesthésie + examen d’anapath inclus</t>
  </si>
  <si>
    <t>Mesure Ambulatoire de la PA (MAPA)</t>
  </si>
  <si>
    <t>Ponction lombaire</t>
  </si>
  <si>
    <t>Sondage gastrique/Lavement gastrique</t>
  </si>
  <si>
    <t>Spirométrie</t>
  </si>
  <si>
    <t>Aspiration des mucosités trachéales</t>
  </si>
  <si>
    <t>Cathéter ombilical</t>
  </si>
  <si>
    <t>Couveuse/jour</t>
  </si>
  <si>
    <t>Gavage/séance</t>
  </si>
  <si>
    <t>Hospitalisation/jour Salle commune</t>
  </si>
  <si>
    <t>Hospitalisation/jour Salle privée</t>
  </si>
  <si>
    <t>Irrigation nasale au sérum physiologique</t>
  </si>
  <si>
    <t>Lavage gastrique</t>
  </si>
  <si>
    <t>Lavement rectal</t>
  </si>
  <si>
    <t>Nebulisation</t>
  </si>
  <si>
    <t>Photothérapie/jour</t>
  </si>
  <si>
    <t>Placement Sonde nasogastrique (SNG)</t>
  </si>
  <si>
    <t>Placement Sonde vésicale à demeure (SVD)</t>
  </si>
  <si>
    <t>Tubage gastrique</t>
  </si>
  <si>
    <t>Acompte/caution</t>
  </si>
  <si>
    <t>Aspiration</t>
  </si>
  <si>
    <t>Hospitalisation aux urgences/jour</t>
  </si>
  <si>
    <t>Monitoring/jour</t>
  </si>
  <si>
    <t>Oxygène - Bombonne/heure</t>
  </si>
  <si>
    <t>Oxygène - Extracteur/heure</t>
  </si>
  <si>
    <t>Débridement plaie au chevet/Décapage</t>
  </si>
  <si>
    <t>Injection IM</t>
  </si>
  <si>
    <t>Injection IV</t>
  </si>
  <si>
    <t>Injection SC</t>
  </si>
  <si>
    <t>Irrigation plaie/jour</t>
  </si>
  <si>
    <t>Lavement d'oreille</t>
  </si>
  <si>
    <t>Pansement (Gros)</t>
  </si>
  <si>
    <t>Pansement (Moyen)</t>
  </si>
  <si>
    <t>Pansement (Petit)</t>
  </si>
  <si>
    <t>Perfusion/Acte infirmier par séance</t>
  </si>
  <si>
    <t>Soins de toilette malade alité/rasage</t>
  </si>
  <si>
    <t>Transfusion/Acte infirmier par séance</t>
  </si>
  <si>
    <t>Autres</t>
  </si>
  <si>
    <t>LCR, LEP, Spermogramme</t>
  </si>
  <si>
    <t>Test de Huhner, Meares &amp; stamey</t>
  </si>
  <si>
    <t>Bactériologie</t>
  </si>
  <si>
    <t>ECBU, Copro, Hémo, Variaculture</t>
  </si>
  <si>
    <t>Gramm, Ziehl Neelsen</t>
  </si>
  <si>
    <t>Bio. Urinaire</t>
  </si>
  <si>
    <t>Albuminurie, Glucosurie, Acétonurie</t>
  </si>
  <si>
    <t>Bandelette Urinaire</t>
  </si>
  <si>
    <t>Biochimie</t>
  </si>
  <si>
    <t>Amylase</t>
  </si>
  <si>
    <t>Bilirubine Indirecte</t>
  </si>
  <si>
    <t>Cholestérol (Tot, HDL, LDL), Bilirubines</t>
  </si>
  <si>
    <t>Glycémie</t>
  </si>
  <si>
    <t>Hgb glyquée, Ionogramme (K, Na, Ca, Cl)</t>
  </si>
  <si>
    <t>Urée, Créat, Acide Uriq, SGOT/PT</t>
  </si>
  <si>
    <t>Hormonologie</t>
  </si>
  <si>
    <t>Alpha FP</t>
  </si>
  <si>
    <t>FSH, LH, Prolactine, Testo, T3, T4...</t>
  </si>
  <si>
    <t>Hématologie</t>
  </si>
  <si>
    <t>D-Dimère</t>
  </si>
  <si>
    <t>Hb/Hct, GR, FL, NFS</t>
  </si>
  <si>
    <t>Hct, GB, VS</t>
  </si>
  <si>
    <t>Hémogramme complet</t>
  </si>
  <si>
    <t>Hémostase</t>
  </si>
  <si>
    <t>TC, TS</t>
  </si>
  <si>
    <t>Immuno-Hém.</t>
  </si>
  <si>
    <t>G.S et Rh</t>
  </si>
  <si>
    <t>Test de compatibilité</t>
  </si>
  <si>
    <t>Test de coombs (direct/indirect)</t>
  </si>
  <si>
    <t>Immuno-Séro.</t>
  </si>
  <si>
    <t>ASLO, CRP (qual/quant), FR</t>
  </si>
  <si>
    <t>H Pylori</t>
  </si>
  <si>
    <t>HIV, AgHBS, ACVHC, VDRL, T Widal</t>
  </si>
  <si>
    <t>Test de grossesse</t>
  </si>
  <si>
    <t>Parasitologie</t>
  </si>
  <si>
    <t>GE / S à f / Sédiment urinaire</t>
  </si>
  <si>
    <t>QBC</t>
  </si>
  <si>
    <t>Selles après concentration</t>
  </si>
  <si>
    <t>Selles à l’Etat frais</t>
  </si>
  <si>
    <t>Test de Knott / Scarification</t>
  </si>
  <si>
    <t>ECHOGRAPHIE</t>
  </si>
  <si>
    <t>Echographie abdominale</t>
  </si>
  <si>
    <t>Echographie abdomino-pelvienne</t>
  </si>
  <si>
    <t>Echographie articulaire</t>
  </si>
  <si>
    <t>Echographie cardiaque</t>
  </si>
  <si>
    <t>Echographie de l’appareil urinaire</t>
  </si>
  <si>
    <t>Echographie doppler — 1 Membre inférieur</t>
  </si>
  <si>
    <t>Echographie doppler — 2 Membres inférieurs</t>
  </si>
  <si>
    <t>Echographie mammaire</t>
  </si>
  <si>
    <t>Echographie Musculosquelettique</t>
  </si>
  <si>
    <t>Echographie obstétricale</t>
  </si>
  <si>
    <t>Echographie Oculaire</t>
  </si>
  <si>
    <t>Echographie pelvienne</t>
  </si>
  <si>
    <t>Echographie thyroïdienne</t>
  </si>
  <si>
    <t>Echographie transfontanellaire ou Masse</t>
  </si>
  <si>
    <t>Echographie vésicoprostatique</t>
  </si>
  <si>
    <t>RADIOGRAPHIE</t>
  </si>
  <si>
    <t>ABDOMEN SANS PREPARATION (ASP)</t>
  </si>
  <si>
    <t>ATM</t>
  </si>
  <si>
    <t>AVANT BRAS Face &amp; Profil</t>
  </si>
  <si>
    <t>BASSIN Face</t>
  </si>
  <si>
    <t>BASSIN Face &amp; Profil</t>
  </si>
  <si>
    <t>BRAS</t>
  </si>
  <si>
    <t>CAVUM</t>
  </si>
  <si>
    <t>COLONNE CERVICALE Face &amp; Profil</t>
  </si>
  <si>
    <t>COLONNE CERVICO DORSALE</t>
  </si>
  <si>
    <t>COLONNE DORSALE Face &amp; Profil</t>
  </si>
  <si>
    <t>COLONNE DORSOLOMBAIRE</t>
  </si>
  <si>
    <t>COLONNE LOMBAIRE (LOMBOSACREE) F et P</t>
  </si>
  <si>
    <t>CRANE Face &amp; Profil</t>
  </si>
  <si>
    <t>CUISSE Face &amp; Profil</t>
  </si>
  <si>
    <t>EXTREMITES F&amp;P (Pied, Coude, Epaule, Poignet, Cheville Main, Genou)</t>
  </si>
  <si>
    <t>GRIL COSTAL</t>
  </si>
  <si>
    <t>HANCHE Face (Un seul côté G ou D)</t>
  </si>
  <si>
    <t>JAMBE Face &amp; Profil</t>
  </si>
  <si>
    <t>MANDIBULE</t>
  </si>
  <si>
    <t>MASTOIDES (Côté gauche ou droit)</t>
  </si>
  <si>
    <t>OMOPLATE</t>
  </si>
  <si>
    <t>SINUS</t>
  </si>
  <si>
    <t>THORAX Face</t>
  </si>
  <si>
    <t>THORAX Face &amp; Profil</t>
  </si>
  <si>
    <t>RADIOGRAPHIE SPECIALE</t>
  </si>
  <si>
    <t>FISTULOGRAPHIE</t>
  </si>
  <si>
    <t>HYSTEROSALPINGOGRAPHIE (HSG)</t>
  </si>
  <si>
    <t>LAVEMENT BARYTE (LABA)</t>
  </si>
  <si>
    <t>URETRO CYSTOGRAPHIE ASCENDANTE (UCA)</t>
  </si>
  <si>
    <t>UROGRAPHIE INTRA VEINEUSE (UIV)</t>
  </si>
  <si>
    <t>ŒSOPHAGE ESTOMAC DUODENUM (OED)</t>
  </si>
  <si>
    <t>ŒSOPHAGE Face &amp; Profil</t>
  </si>
  <si>
    <t>N.B.  Taux : 1 USD = 2 300 CDF (comme dans les formules des propositions de service).  Lignes jaunes : Cat B = +20 % (×1,2) et Cat C = +40 % (×1,4), exception concurrence.  Autres actes : Cat B ×1,5 et Cat C ×2.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</si>
</sst>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1"/>
      <color rgb="FF1C2833"/>
      <name val="Calibri"/>
    </font>
    <font>
      <b/>
      <sz val="11"/>
      <color rgb="FF1C2833"/>
      <name val="Calibri"/>
    </font>
    <font>
      <i/>
      <sz val="10"/>
      <color rgb="FF5D6D7E"/>
      <name val="Calibri"/>
    </font>
    <font>
      <u/>
      <sz val="11"/>
      <color rgb="FF1A5276"/>
      <name val="Calibri"/>
    </font>
    <font>
      <sz val="10"/>
      <color rgb="FF1C283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D4A"/>
      </patternFill>
    </fill>
    <fill>
      <patternFill patternType="solid">
        <fgColor rgb="FF1A6B7A"/>
      </patternFill>
    </fill>
    <fill>
      <patternFill patternType="solid">
        <fgColor rgb="FFFFF3B0"/>
      </patternFill>
    </fill>
    <fill>
      <patternFill patternType="solid">
        <fgColor rgb="FFF8F1DE"/>
      </patternFill>
    </fill>
    <fill>
      <patternFill patternType="solid">
        <fgColor rgb="FFF4F7F8"/>
      </patternFill>
    </fill>
    <fill>
      <patternFill patternType="solid">
        <fgColor rgb="FFE8F6EF"/>
      </patternFill>
    </fill>
    <fill>
      <patternFill patternType="solid">
        <fgColor rgb="FFFFFFFF"/>
      </patternFill>
    </fill>
    <fill>
      <patternFill patternType="solid">
        <fgColor rgb="FF1E6B4A"/>
      </patternFill>
    </fill>
  </fills>
  <borders count="2">
    <border>
      <left/>
      <right/>
      <top/>
      <bottom/>
      <diagonal/>
    </border>
    <border>
      <left style="thin">
        <color rgb="FFC5D0D4"/>
      </left>
      <right style="thin">
        <color rgb="FFC5D0D4"/>
      </right>
      <top style="thin">
        <color rgb="FFC5D0D4"/>
      </top>
      <bottom style="thin">
        <color rgb="FFC5D0D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4" fontId="4" fillId="6" borderId="1" xfId="0" applyNumberFormat="1" applyFont="1" applyFill="1" applyBorder="1" applyAlignment="1">
      <alignment horizontal="right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3" fontId="5" fillId="7" borderId="1" xfId="0" applyNumberFormat="1" applyFont="1" applyFill="1" applyBorder="1" applyAlignment="1">
      <alignment horizontal="right" vertical="center" wrapText="1"/>
    </xf>
    <xf numFmtId="4" fontId="4" fillId="8" borderId="1" xfId="0" applyNumberFormat="1" applyFont="1" applyFill="1" applyBorder="1" applyAlignment="1">
      <alignment horizontal="right" vertical="center" wrapText="1"/>
    </xf>
    <xf numFmtId="3" fontId="4" fillId="8" borderId="1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 indent="1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vertical="top" wrapText="1" indent="1"/>
    </xf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6" fillId="0" borderId="0" xfId="0" applyFont="1" applyAlignment="1">
      <alignment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A35A"/>
    <pageSetUpPr fitToPage="1"/>
  </sheetPr>
  <dimension ref="A1:E17"/>
  <sheetViews>
    <sheetView showGridLines="0" workbookViewId="0">
      <pane ySplit="4" topLeftCell="A5" activePane="bottomLeft" state="frozen"/>
      <selection pane="bottomLeft" activeCell="E5" sqref="E5"/>
    </sheetView>
  </sheetViews>
  <sheetFormatPr baseColWidth="10" defaultColWidth="8.7265625" defaultRowHeight="14.5" x14ac:dyDescent="0.35"/>
  <cols>
    <col min="1" max="1" width="28" customWidth="1"/>
    <col min="2" max="2" width="14" customWidth="1"/>
    <col min="3" max="3" width="28" customWidth="1"/>
    <col min="4" max="4" width="62" customWidth="1"/>
    <col min="5" max="5" width="16" customWidth="1"/>
  </cols>
  <sheetData>
    <row r="1" spans="1:5" ht="30" customHeight="1" x14ac:dyDescent="0.35">
      <c r="A1" s="23" t="s">
        <v>0</v>
      </c>
      <c r="B1" s="24"/>
      <c r="C1" s="24"/>
      <c r="D1" s="24"/>
      <c r="E1" s="24"/>
    </row>
    <row r="2" spans="1:5" ht="22" customHeight="1" x14ac:dyDescent="0.35">
      <c r="A2" s="21" t="s">
        <v>1</v>
      </c>
      <c r="B2" s="22"/>
      <c r="C2" s="22"/>
      <c r="D2" s="22"/>
      <c r="E2" s="22"/>
    </row>
    <row r="4" spans="1:5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" customHeight="1" x14ac:dyDescent="0.35">
      <c r="A5" s="2" t="s">
        <v>7</v>
      </c>
      <c r="B5" s="3">
        <v>43</v>
      </c>
      <c r="C5" s="3">
        <v>23</v>
      </c>
      <c r="D5" s="2" t="s">
        <v>8</v>
      </c>
      <c r="E5" s="4" t="s">
        <v>9</v>
      </c>
    </row>
    <row r="6" spans="1:5" ht="20" customHeight="1" x14ac:dyDescent="0.35">
      <c r="A6" s="5" t="s">
        <v>10</v>
      </c>
      <c r="B6" s="6">
        <v>79</v>
      </c>
      <c r="C6" s="6">
        <v>40</v>
      </c>
      <c r="D6" s="5" t="s">
        <v>11</v>
      </c>
      <c r="E6" s="7" t="s">
        <v>9</v>
      </c>
    </row>
    <row r="7" spans="1:5" ht="20" customHeight="1" x14ac:dyDescent="0.35">
      <c r="A7" s="2" t="s">
        <v>12</v>
      </c>
      <c r="B7" s="3">
        <v>25</v>
      </c>
      <c r="C7" s="3">
        <v>15</v>
      </c>
      <c r="D7" s="2" t="s">
        <v>13</v>
      </c>
      <c r="E7" s="4" t="s">
        <v>9</v>
      </c>
    </row>
    <row r="8" spans="1:5" ht="20" customHeight="1" x14ac:dyDescent="0.35">
      <c r="A8" s="5" t="s">
        <v>14</v>
      </c>
      <c r="B8" s="6">
        <v>22</v>
      </c>
      <c r="C8" s="6">
        <v>1</v>
      </c>
      <c r="D8" s="5" t="s">
        <v>15</v>
      </c>
      <c r="E8" s="7" t="s">
        <v>9</v>
      </c>
    </row>
    <row r="9" spans="1:5" ht="20" customHeight="1" x14ac:dyDescent="0.35">
      <c r="A9" s="2" t="s">
        <v>16</v>
      </c>
      <c r="B9" s="3">
        <v>11</v>
      </c>
      <c r="C9" s="3">
        <v>0</v>
      </c>
      <c r="D9" s="2" t="s">
        <v>17</v>
      </c>
      <c r="E9" s="4" t="s">
        <v>9</v>
      </c>
    </row>
    <row r="10" spans="1:5" ht="20" customHeight="1" x14ac:dyDescent="0.35">
      <c r="A10" s="5" t="s">
        <v>18</v>
      </c>
      <c r="B10" s="6">
        <v>12</v>
      </c>
      <c r="C10" s="6">
        <v>0</v>
      </c>
      <c r="D10" s="5" t="s">
        <v>19</v>
      </c>
      <c r="E10" s="7" t="s">
        <v>9</v>
      </c>
    </row>
    <row r="11" spans="1:5" ht="20" customHeight="1" x14ac:dyDescent="0.35">
      <c r="A11" s="2" t="s">
        <v>20</v>
      </c>
      <c r="B11" s="3">
        <v>31</v>
      </c>
      <c r="C11" s="3">
        <v>0</v>
      </c>
      <c r="D11" s="2" t="s">
        <v>21</v>
      </c>
      <c r="E11" s="4" t="s">
        <v>9</v>
      </c>
    </row>
    <row r="12" spans="1:5" ht="20" customHeight="1" x14ac:dyDescent="0.35">
      <c r="A12" s="5" t="s">
        <v>22</v>
      </c>
      <c r="B12" s="6">
        <v>46</v>
      </c>
      <c r="C12" s="6">
        <v>46</v>
      </c>
      <c r="D12" s="5" t="s">
        <v>23</v>
      </c>
      <c r="E12" s="7" t="s">
        <v>9</v>
      </c>
    </row>
    <row r="13" spans="1:5" ht="22" customHeight="1" x14ac:dyDescent="0.35">
      <c r="A13" s="8" t="s">
        <v>24</v>
      </c>
      <c r="B13" s="9">
        <v>269</v>
      </c>
      <c r="C13" s="9">
        <v>125</v>
      </c>
      <c r="D13" s="9"/>
      <c r="E13" s="9"/>
    </row>
    <row r="15" spans="1:5" ht="20" customHeight="1" x14ac:dyDescent="0.35">
      <c r="A15" s="25" t="s">
        <v>25</v>
      </c>
      <c r="B15" s="26"/>
      <c r="C15" s="26"/>
      <c r="D15" s="26"/>
      <c r="E15" s="26"/>
    </row>
    <row r="16" spans="1:5" ht="20" customHeight="1" x14ac:dyDescent="0.35">
      <c r="A16" s="26"/>
      <c r="B16" s="26"/>
      <c r="C16" s="26"/>
      <c r="D16" s="26"/>
      <c r="E16" s="26"/>
    </row>
    <row r="17" spans="1:5" ht="20" customHeight="1" x14ac:dyDescent="0.35">
      <c r="A17" s="26"/>
      <c r="B17" s="26"/>
      <c r="C17" s="26"/>
      <c r="D17" s="26"/>
      <c r="E17" s="26"/>
    </row>
  </sheetData>
  <mergeCells count="3">
    <mergeCell ref="A2:E2"/>
    <mergeCell ref="A1:E1"/>
    <mergeCell ref="A15:E17"/>
  </mergeCells>
  <hyperlinks>
    <hyperlink ref="E5" location="'Grille CHHU'!A1" display="Grille CHHU"/>
    <hyperlink ref="E6" location="'Grille CHHU'!A1" display="Grille CHHU"/>
    <hyperlink ref="E7" location="'Grille CHHU'!A1" display="Grille CHHU"/>
    <hyperlink ref="E8" location="'Grille CHHU'!A1" display="Grille CHHU"/>
    <hyperlink ref="E9" location="'Grille CHHU'!A1" display="Grille CHHU"/>
    <hyperlink ref="E10" location="'Grille CHHU'!A1" display="Grille CHHU"/>
    <hyperlink ref="E11" location="'Grille CHHU'!A1" display="Grille CHHU"/>
    <hyperlink ref="E12" location="'Grille CHHU'!A1" display="Grille CHHU"/>
  </hyperlinks>
  <pageMargins left="0.75" right="0.75" top="1" bottom="1" header="0.5" footer="0.5"/>
  <pageSetup orientation="landscape"/>
  <headerFooter>
    <oddFooter>&amp;LCHHU — Grille tarifaire consolidée&amp;RPage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6B4A"/>
    <pageSetUpPr fitToPage="1"/>
  </sheetPr>
  <dimension ref="A1:J274"/>
  <sheetViews>
    <sheetView showGridLines="0" tabSelected="1" workbookViewId="0">
      <pane ySplit="3" topLeftCell="A88" activePane="bottomLeft" state="frozen"/>
      <selection pane="bottomLeft" activeCell="F38" sqref="F38"/>
    </sheetView>
  </sheetViews>
  <sheetFormatPr baseColWidth="10" defaultColWidth="8.7265625" defaultRowHeight="14.5" x14ac:dyDescent="0.35"/>
  <cols>
    <col min="1" max="1" width="6" customWidth="1"/>
    <col min="2" max="2" width="26" customWidth="1"/>
    <col min="3" max="3" width="24" customWidth="1"/>
    <col min="4" max="4" width="62" customWidth="1"/>
    <col min="5" max="10" width="14" customWidth="1"/>
  </cols>
  <sheetData>
    <row r="1" spans="1:10" ht="30" customHeight="1" x14ac:dyDescent="0.35">
      <c r="A1" s="27" t="s">
        <v>26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" customHeight="1" x14ac:dyDescent="0.35">
      <c r="A2" s="30" t="s">
        <v>27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8" customHeight="1" x14ac:dyDescent="0.35">
      <c r="A3" s="1" t="s">
        <v>28</v>
      </c>
      <c r="B3" s="1" t="s">
        <v>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</row>
    <row r="4" spans="1:10" ht="20" customHeight="1" x14ac:dyDescent="0.35">
      <c r="A4" s="10">
        <v>1</v>
      </c>
      <c r="B4" s="10" t="s">
        <v>7</v>
      </c>
      <c r="C4" s="11"/>
      <c r="D4" s="11" t="s">
        <v>37</v>
      </c>
      <c r="E4" s="12">
        <v>1035000</v>
      </c>
      <c r="F4" s="13">
        <f t="shared" ref="F4:F67" si="0">ROUND($E4/2300,2)</f>
        <v>450</v>
      </c>
      <c r="G4" s="14">
        <f t="shared" ref="G4:G67" si="1">ROUND($E4*0.6,0)</f>
        <v>621000</v>
      </c>
      <c r="H4" s="14">
        <f t="shared" ref="H4:H67" si="2">ROUND($E4*0.8,0)</f>
        <v>828000</v>
      </c>
      <c r="I4" s="15">
        <f>ROUND($E4*1.2,0)</f>
        <v>1242000</v>
      </c>
      <c r="J4" s="15">
        <f>ROUND($E4*1.4,0)</f>
        <v>1449000</v>
      </c>
    </row>
    <row r="5" spans="1:10" ht="20" customHeight="1" x14ac:dyDescent="0.35">
      <c r="A5" s="6">
        <v>2</v>
      </c>
      <c r="B5" s="6" t="s">
        <v>7</v>
      </c>
      <c r="C5" s="5"/>
      <c r="D5" s="5" t="s">
        <v>38</v>
      </c>
      <c r="E5" s="12">
        <v>138000</v>
      </c>
      <c r="F5" s="16">
        <f t="shared" si="0"/>
        <v>60</v>
      </c>
      <c r="G5" s="17">
        <f t="shared" si="1"/>
        <v>82800</v>
      </c>
      <c r="H5" s="17">
        <f t="shared" si="2"/>
        <v>110400</v>
      </c>
      <c r="I5" s="17">
        <f>ROUND($E5*1.5,0)</f>
        <v>207000</v>
      </c>
      <c r="J5" s="18">
        <f>ROUND($E5*2,0)</f>
        <v>276000</v>
      </c>
    </row>
    <row r="6" spans="1:10" ht="20" customHeight="1" x14ac:dyDescent="0.35">
      <c r="A6" s="3">
        <v>3</v>
      </c>
      <c r="B6" s="3" t="s">
        <v>7</v>
      </c>
      <c r="C6" s="2"/>
      <c r="D6" s="2" t="s">
        <v>39</v>
      </c>
      <c r="E6" s="12">
        <v>46000</v>
      </c>
      <c r="F6" s="19">
        <f t="shared" si="0"/>
        <v>20</v>
      </c>
      <c r="G6" s="20">
        <f t="shared" si="1"/>
        <v>27600</v>
      </c>
      <c r="H6" s="20">
        <f t="shared" si="2"/>
        <v>36800</v>
      </c>
      <c r="I6" s="20">
        <f>ROUND($E6*1.5,0)</f>
        <v>69000</v>
      </c>
      <c r="J6" s="18">
        <f>ROUND($E6*2,0)</f>
        <v>92000</v>
      </c>
    </row>
    <row r="7" spans="1:10" ht="20" customHeight="1" x14ac:dyDescent="0.35">
      <c r="A7" s="10">
        <v>4</v>
      </c>
      <c r="B7" s="10" t="s">
        <v>7</v>
      </c>
      <c r="C7" s="11"/>
      <c r="D7" s="11" t="s">
        <v>40</v>
      </c>
      <c r="E7" s="12">
        <v>69000</v>
      </c>
      <c r="F7" s="13">
        <f t="shared" si="0"/>
        <v>30</v>
      </c>
      <c r="G7" s="14">
        <f t="shared" si="1"/>
        <v>41400</v>
      </c>
      <c r="H7" s="14">
        <f t="shared" si="2"/>
        <v>55200</v>
      </c>
      <c r="I7" s="15">
        <f t="shared" ref="I7:I13" si="3">ROUND($E7*1.2,0)</f>
        <v>82800</v>
      </c>
      <c r="J7" s="15">
        <f t="shared" ref="J7:J13" si="4">ROUND($E7*1.4,0)</f>
        <v>96600</v>
      </c>
    </row>
    <row r="8" spans="1:10" ht="20" customHeight="1" x14ac:dyDescent="0.35">
      <c r="A8" s="10">
        <v>5</v>
      </c>
      <c r="B8" s="10" t="s">
        <v>7</v>
      </c>
      <c r="C8" s="11"/>
      <c r="D8" s="11" t="s">
        <v>41</v>
      </c>
      <c r="E8" s="12">
        <v>57500</v>
      </c>
      <c r="F8" s="13">
        <f t="shared" si="0"/>
        <v>25</v>
      </c>
      <c r="G8" s="14">
        <f t="shared" si="1"/>
        <v>34500</v>
      </c>
      <c r="H8" s="14">
        <f t="shared" si="2"/>
        <v>46000</v>
      </c>
      <c r="I8" s="15">
        <f t="shared" si="3"/>
        <v>69000</v>
      </c>
      <c r="J8" s="15">
        <f t="shared" si="4"/>
        <v>80500</v>
      </c>
    </row>
    <row r="9" spans="1:10" ht="20" customHeight="1" x14ac:dyDescent="0.35">
      <c r="A9" s="10">
        <v>6</v>
      </c>
      <c r="B9" s="10" t="s">
        <v>7</v>
      </c>
      <c r="C9" s="11"/>
      <c r="D9" s="11" t="s">
        <v>42</v>
      </c>
      <c r="E9" s="12">
        <v>34500</v>
      </c>
      <c r="F9" s="13">
        <f t="shared" si="0"/>
        <v>15</v>
      </c>
      <c r="G9" s="14">
        <f t="shared" si="1"/>
        <v>20700</v>
      </c>
      <c r="H9" s="14">
        <f t="shared" si="2"/>
        <v>27600</v>
      </c>
      <c r="I9" s="15">
        <f t="shared" si="3"/>
        <v>41400</v>
      </c>
      <c r="J9" s="15">
        <f t="shared" si="4"/>
        <v>48300</v>
      </c>
    </row>
    <row r="10" spans="1:10" ht="20" customHeight="1" x14ac:dyDescent="0.35">
      <c r="A10" s="10">
        <v>7</v>
      </c>
      <c r="B10" s="10" t="s">
        <v>7</v>
      </c>
      <c r="C10" s="11"/>
      <c r="D10" s="11" t="s">
        <v>43</v>
      </c>
      <c r="E10" s="12">
        <v>57500</v>
      </c>
      <c r="F10" s="13">
        <f t="shared" si="0"/>
        <v>25</v>
      </c>
      <c r="G10" s="14">
        <f t="shared" si="1"/>
        <v>34500</v>
      </c>
      <c r="H10" s="14">
        <f t="shared" si="2"/>
        <v>46000</v>
      </c>
      <c r="I10" s="15">
        <f t="shared" si="3"/>
        <v>69000</v>
      </c>
      <c r="J10" s="15">
        <f t="shared" si="4"/>
        <v>80500</v>
      </c>
    </row>
    <row r="11" spans="1:10" ht="20" customHeight="1" x14ac:dyDescent="0.35">
      <c r="A11" s="10">
        <v>8</v>
      </c>
      <c r="B11" s="10" t="s">
        <v>7</v>
      </c>
      <c r="C11" s="11"/>
      <c r="D11" s="11" t="s">
        <v>44</v>
      </c>
      <c r="E11" s="12">
        <v>69000</v>
      </c>
      <c r="F11" s="13">
        <f t="shared" si="0"/>
        <v>30</v>
      </c>
      <c r="G11" s="14">
        <f t="shared" si="1"/>
        <v>41400</v>
      </c>
      <c r="H11" s="14">
        <f t="shared" si="2"/>
        <v>55200</v>
      </c>
      <c r="I11" s="15">
        <f t="shared" si="3"/>
        <v>82800</v>
      </c>
      <c r="J11" s="15">
        <f t="shared" si="4"/>
        <v>96600</v>
      </c>
    </row>
    <row r="12" spans="1:10" ht="20" customHeight="1" x14ac:dyDescent="0.35">
      <c r="A12" s="10">
        <v>9</v>
      </c>
      <c r="B12" s="10" t="s">
        <v>7</v>
      </c>
      <c r="C12" s="11"/>
      <c r="D12" s="11" t="s">
        <v>45</v>
      </c>
      <c r="E12" s="12">
        <v>69000</v>
      </c>
      <c r="F12" s="13">
        <f t="shared" si="0"/>
        <v>30</v>
      </c>
      <c r="G12" s="14">
        <f t="shared" si="1"/>
        <v>41400</v>
      </c>
      <c r="H12" s="14">
        <f t="shared" si="2"/>
        <v>55200</v>
      </c>
      <c r="I12" s="15">
        <f t="shared" si="3"/>
        <v>82800</v>
      </c>
      <c r="J12" s="15">
        <f t="shared" si="4"/>
        <v>96600</v>
      </c>
    </row>
    <row r="13" spans="1:10" ht="20" customHeight="1" x14ac:dyDescent="0.35">
      <c r="A13" s="10">
        <v>10</v>
      </c>
      <c r="B13" s="10" t="s">
        <v>7</v>
      </c>
      <c r="C13" s="11"/>
      <c r="D13" s="11" t="s">
        <v>46</v>
      </c>
      <c r="E13" s="12">
        <v>575000</v>
      </c>
      <c r="F13" s="13">
        <f t="shared" si="0"/>
        <v>250</v>
      </c>
      <c r="G13" s="14">
        <f t="shared" si="1"/>
        <v>345000</v>
      </c>
      <c r="H13" s="14">
        <f t="shared" si="2"/>
        <v>460000</v>
      </c>
      <c r="I13" s="15">
        <f t="shared" si="3"/>
        <v>690000</v>
      </c>
      <c r="J13" s="15">
        <f t="shared" si="4"/>
        <v>805000</v>
      </c>
    </row>
    <row r="14" spans="1:10" ht="20" customHeight="1" x14ac:dyDescent="0.35">
      <c r="A14" s="3">
        <v>11</v>
      </c>
      <c r="B14" s="3" t="s">
        <v>7</v>
      </c>
      <c r="C14" s="2"/>
      <c r="D14" s="2" t="s">
        <v>47</v>
      </c>
      <c r="E14" s="12">
        <v>23000</v>
      </c>
      <c r="F14" s="19">
        <f t="shared" si="0"/>
        <v>10</v>
      </c>
      <c r="G14" s="20">
        <f t="shared" si="1"/>
        <v>13800</v>
      </c>
      <c r="H14" s="20">
        <f t="shared" si="2"/>
        <v>18400</v>
      </c>
      <c r="I14" s="20">
        <f>ROUND($E14*1.5,0)</f>
        <v>34500</v>
      </c>
      <c r="J14" s="18">
        <f>ROUND($E14*2,0)</f>
        <v>46000</v>
      </c>
    </row>
    <row r="15" spans="1:10" ht="20" customHeight="1" x14ac:dyDescent="0.35">
      <c r="A15" s="10">
        <v>12</v>
      </c>
      <c r="B15" s="10" t="s">
        <v>7</v>
      </c>
      <c r="C15" s="11"/>
      <c r="D15" s="11" t="s">
        <v>48</v>
      </c>
      <c r="E15" s="12">
        <v>230000</v>
      </c>
      <c r="F15" s="13">
        <f t="shared" si="0"/>
        <v>100</v>
      </c>
      <c r="G15" s="14">
        <f t="shared" si="1"/>
        <v>138000</v>
      </c>
      <c r="H15" s="14">
        <f t="shared" si="2"/>
        <v>184000</v>
      </c>
      <c r="I15" s="15">
        <f>ROUND($E15*1.2,0)</f>
        <v>276000</v>
      </c>
      <c r="J15" s="15">
        <f>ROUND($E15*1.4,0)</f>
        <v>322000</v>
      </c>
    </row>
    <row r="16" spans="1:10" ht="20" customHeight="1" x14ac:dyDescent="0.35">
      <c r="A16" s="3">
        <v>13</v>
      </c>
      <c r="B16" s="3" t="s">
        <v>7</v>
      </c>
      <c r="C16" s="2"/>
      <c r="D16" s="2" t="s">
        <v>49</v>
      </c>
      <c r="E16" s="12">
        <v>34500</v>
      </c>
      <c r="F16" s="19">
        <f t="shared" si="0"/>
        <v>15</v>
      </c>
      <c r="G16" s="20">
        <f t="shared" si="1"/>
        <v>20700</v>
      </c>
      <c r="H16" s="20">
        <f t="shared" si="2"/>
        <v>27600</v>
      </c>
      <c r="I16" s="20">
        <f>ROUND($E16*1.5,0)</f>
        <v>51750</v>
      </c>
      <c r="J16" s="18">
        <f>ROUND($E16*2,0)</f>
        <v>69000</v>
      </c>
    </row>
    <row r="17" spans="1:10" ht="20" customHeight="1" x14ac:dyDescent="0.35">
      <c r="A17" s="6">
        <v>14</v>
      </c>
      <c r="B17" s="6" t="s">
        <v>7</v>
      </c>
      <c r="C17" s="5"/>
      <c r="D17" s="5" t="s">
        <v>50</v>
      </c>
      <c r="E17" s="12">
        <v>23000</v>
      </c>
      <c r="F17" s="16">
        <f t="shared" si="0"/>
        <v>10</v>
      </c>
      <c r="G17" s="17">
        <f t="shared" si="1"/>
        <v>13800</v>
      </c>
      <c r="H17" s="17">
        <f t="shared" si="2"/>
        <v>18400</v>
      </c>
      <c r="I17" s="17">
        <f>ROUND($E17*1.5,0)</f>
        <v>34500</v>
      </c>
      <c r="J17" s="18">
        <f>ROUND($E17*2,0)</f>
        <v>46000</v>
      </c>
    </row>
    <row r="18" spans="1:10" ht="20" customHeight="1" x14ac:dyDescent="0.35">
      <c r="A18" s="3">
        <v>15</v>
      </c>
      <c r="B18" s="3" t="s">
        <v>7</v>
      </c>
      <c r="C18" s="2"/>
      <c r="D18" s="2" t="s">
        <v>51</v>
      </c>
      <c r="E18" s="12">
        <v>34500</v>
      </c>
      <c r="F18" s="19">
        <f t="shared" si="0"/>
        <v>15</v>
      </c>
      <c r="G18" s="20">
        <f t="shared" si="1"/>
        <v>20700</v>
      </c>
      <c r="H18" s="20">
        <f t="shared" si="2"/>
        <v>27600</v>
      </c>
      <c r="I18" s="20">
        <f>ROUND($E18*1.5,0)</f>
        <v>51750</v>
      </c>
      <c r="J18" s="18">
        <f>ROUND($E18*2,0)</f>
        <v>69000</v>
      </c>
    </row>
    <row r="19" spans="1:10" ht="20" customHeight="1" x14ac:dyDescent="0.35">
      <c r="A19" s="10">
        <v>16</v>
      </c>
      <c r="B19" s="10" t="s">
        <v>7</v>
      </c>
      <c r="C19" s="11"/>
      <c r="D19" s="11" t="s">
        <v>52</v>
      </c>
      <c r="E19" s="12">
        <v>276000</v>
      </c>
      <c r="F19" s="13">
        <f t="shared" si="0"/>
        <v>120</v>
      </c>
      <c r="G19" s="14">
        <f t="shared" si="1"/>
        <v>165600</v>
      </c>
      <c r="H19" s="14">
        <f t="shared" si="2"/>
        <v>220800</v>
      </c>
      <c r="I19" s="15">
        <f>ROUND($E19*1.2,0)</f>
        <v>331200</v>
      </c>
      <c r="J19" s="15">
        <f>ROUND($E19*1.4,0)</f>
        <v>386400</v>
      </c>
    </row>
    <row r="20" spans="1:10" ht="20" customHeight="1" x14ac:dyDescent="0.35">
      <c r="A20" s="10">
        <v>17</v>
      </c>
      <c r="B20" s="10" t="s">
        <v>7</v>
      </c>
      <c r="C20" s="11"/>
      <c r="D20" s="11" t="s">
        <v>53</v>
      </c>
      <c r="E20" s="12">
        <v>276000</v>
      </c>
      <c r="F20" s="13">
        <f t="shared" si="0"/>
        <v>120</v>
      </c>
      <c r="G20" s="14">
        <f t="shared" si="1"/>
        <v>165600</v>
      </c>
      <c r="H20" s="14">
        <f t="shared" si="2"/>
        <v>220800</v>
      </c>
      <c r="I20" s="15">
        <f>ROUND($E20*1.2,0)</f>
        <v>331200</v>
      </c>
      <c r="J20" s="15">
        <f>ROUND($E20*1.4,0)</f>
        <v>386400</v>
      </c>
    </row>
    <row r="21" spans="1:10" ht="20" customHeight="1" x14ac:dyDescent="0.35">
      <c r="A21" s="10">
        <v>18</v>
      </c>
      <c r="B21" s="10" t="s">
        <v>7</v>
      </c>
      <c r="C21" s="11"/>
      <c r="D21" s="11" t="s">
        <v>54</v>
      </c>
      <c r="E21" s="12">
        <v>80500</v>
      </c>
      <c r="F21" s="13">
        <f t="shared" si="0"/>
        <v>35</v>
      </c>
      <c r="G21" s="14">
        <f t="shared" si="1"/>
        <v>48300</v>
      </c>
      <c r="H21" s="14">
        <f t="shared" si="2"/>
        <v>64400</v>
      </c>
      <c r="I21" s="15">
        <f>ROUND($E21*1.2,0)</f>
        <v>96600</v>
      </c>
      <c r="J21" s="15">
        <f>ROUND($E21*1.4,0)</f>
        <v>112700</v>
      </c>
    </row>
    <row r="22" spans="1:10" ht="20" customHeight="1" x14ac:dyDescent="0.35">
      <c r="A22" s="10">
        <v>19</v>
      </c>
      <c r="B22" s="10" t="s">
        <v>7</v>
      </c>
      <c r="C22" s="11"/>
      <c r="D22" s="11" t="s">
        <v>55</v>
      </c>
      <c r="E22" s="12">
        <v>736000</v>
      </c>
      <c r="F22" s="13">
        <f t="shared" si="0"/>
        <v>320</v>
      </c>
      <c r="G22" s="14">
        <f t="shared" si="1"/>
        <v>441600</v>
      </c>
      <c r="H22" s="14">
        <f t="shared" si="2"/>
        <v>588800</v>
      </c>
      <c r="I22" s="15">
        <f>ROUND($E22*1.2,0)</f>
        <v>883200</v>
      </c>
      <c r="J22" s="15">
        <f>ROUND($E22*1.4,0)</f>
        <v>1030400</v>
      </c>
    </row>
    <row r="23" spans="1:10" ht="20" customHeight="1" x14ac:dyDescent="0.35">
      <c r="A23" s="6">
        <v>20</v>
      </c>
      <c r="B23" s="6" t="s">
        <v>7</v>
      </c>
      <c r="C23" s="5"/>
      <c r="D23" s="5" t="s">
        <v>56</v>
      </c>
      <c r="E23" s="12">
        <v>34500</v>
      </c>
      <c r="F23" s="16">
        <f t="shared" si="0"/>
        <v>15</v>
      </c>
      <c r="G23" s="17">
        <f t="shared" si="1"/>
        <v>20700</v>
      </c>
      <c r="H23" s="17">
        <f t="shared" si="2"/>
        <v>27600</v>
      </c>
      <c r="I23" s="17">
        <f>ROUND($E23*1.5,0)</f>
        <v>51750</v>
      </c>
      <c r="J23" s="18">
        <f>ROUND($E23*2,0)</f>
        <v>69000</v>
      </c>
    </row>
    <row r="24" spans="1:10" ht="20" customHeight="1" x14ac:dyDescent="0.35">
      <c r="A24" s="10">
        <v>21</v>
      </c>
      <c r="B24" s="10" t="s">
        <v>7</v>
      </c>
      <c r="C24" s="11"/>
      <c r="D24" s="11" t="s">
        <v>57</v>
      </c>
      <c r="E24" s="12">
        <v>805000</v>
      </c>
      <c r="F24" s="13">
        <f t="shared" si="0"/>
        <v>350</v>
      </c>
      <c r="G24" s="14">
        <f t="shared" si="1"/>
        <v>483000</v>
      </c>
      <c r="H24" s="14">
        <f t="shared" si="2"/>
        <v>644000</v>
      </c>
      <c r="I24" s="15">
        <f>ROUND($E24*1.2,0)</f>
        <v>966000</v>
      </c>
      <c r="J24" s="15">
        <f>ROUND($E24*1.4,0)</f>
        <v>1127000</v>
      </c>
    </row>
    <row r="25" spans="1:10" ht="20" customHeight="1" x14ac:dyDescent="0.35">
      <c r="A25" s="10">
        <v>22</v>
      </c>
      <c r="B25" s="10" t="s">
        <v>7</v>
      </c>
      <c r="C25" s="11"/>
      <c r="D25" s="11" t="s">
        <v>58</v>
      </c>
      <c r="E25" s="12">
        <v>345000</v>
      </c>
      <c r="F25" s="13">
        <f t="shared" si="0"/>
        <v>150</v>
      </c>
      <c r="G25" s="14">
        <f t="shared" si="1"/>
        <v>207000</v>
      </c>
      <c r="H25" s="14">
        <f t="shared" si="2"/>
        <v>276000</v>
      </c>
      <c r="I25" s="15">
        <f>ROUND($E25*1.2,0)</f>
        <v>414000</v>
      </c>
      <c r="J25" s="15">
        <f>ROUND($E25*1.4,0)</f>
        <v>483000</v>
      </c>
    </row>
    <row r="26" spans="1:10" ht="20" customHeight="1" x14ac:dyDescent="0.35">
      <c r="A26" s="3">
        <v>23</v>
      </c>
      <c r="B26" s="3" t="s">
        <v>7</v>
      </c>
      <c r="C26" s="2"/>
      <c r="D26" s="2" t="s">
        <v>59</v>
      </c>
      <c r="E26" s="12">
        <v>11500</v>
      </c>
      <c r="F26" s="19">
        <f t="shared" si="0"/>
        <v>5</v>
      </c>
      <c r="G26" s="20">
        <f t="shared" si="1"/>
        <v>6900</v>
      </c>
      <c r="H26" s="20">
        <f t="shared" si="2"/>
        <v>9200</v>
      </c>
      <c r="I26" s="20">
        <f>ROUND($E26*1.5,0)</f>
        <v>17250</v>
      </c>
      <c r="J26" s="18">
        <f>ROUND($E26*2,0)</f>
        <v>23000</v>
      </c>
    </row>
    <row r="27" spans="1:10" ht="20" customHeight="1" x14ac:dyDescent="0.35">
      <c r="A27" s="10">
        <v>24</v>
      </c>
      <c r="B27" s="10" t="s">
        <v>7</v>
      </c>
      <c r="C27" s="11"/>
      <c r="D27" s="11" t="s">
        <v>60</v>
      </c>
      <c r="E27" s="12">
        <v>34500</v>
      </c>
      <c r="F27" s="13">
        <f t="shared" si="0"/>
        <v>15</v>
      </c>
      <c r="G27" s="14">
        <f t="shared" si="1"/>
        <v>20700</v>
      </c>
      <c r="H27" s="14">
        <f t="shared" si="2"/>
        <v>27600</v>
      </c>
      <c r="I27" s="15">
        <f>ROUND($E27*1.2,0)</f>
        <v>41400</v>
      </c>
      <c r="J27" s="15">
        <f>ROUND($E27*1.4,0)</f>
        <v>48300</v>
      </c>
    </row>
    <row r="28" spans="1:10" ht="20" customHeight="1" x14ac:dyDescent="0.35">
      <c r="A28" s="3">
        <v>25</v>
      </c>
      <c r="B28" s="3" t="s">
        <v>7</v>
      </c>
      <c r="C28" s="2"/>
      <c r="D28" s="2" t="s">
        <v>61</v>
      </c>
      <c r="E28" s="12">
        <v>46000</v>
      </c>
      <c r="F28" s="19">
        <f t="shared" si="0"/>
        <v>20</v>
      </c>
      <c r="G28" s="20">
        <f t="shared" si="1"/>
        <v>27600</v>
      </c>
      <c r="H28" s="20">
        <f t="shared" si="2"/>
        <v>36800</v>
      </c>
      <c r="I28" s="20">
        <f>ROUND($E28*1.5,0)</f>
        <v>69000</v>
      </c>
      <c r="J28" s="18">
        <f>ROUND($E28*2,0)</f>
        <v>92000</v>
      </c>
    </row>
    <row r="29" spans="1:10" ht="20" customHeight="1" x14ac:dyDescent="0.35">
      <c r="A29" s="10">
        <v>26</v>
      </c>
      <c r="B29" s="10" t="s">
        <v>7</v>
      </c>
      <c r="C29" s="11"/>
      <c r="D29" s="11" t="s">
        <v>62</v>
      </c>
      <c r="E29" s="12">
        <v>46000</v>
      </c>
      <c r="F29" s="13">
        <f t="shared" si="0"/>
        <v>20</v>
      </c>
      <c r="G29" s="14">
        <f t="shared" si="1"/>
        <v>27600</v>
      </c>
      <c r="H29" s="14">
        <f t="shared" si="2"/>
        <v>36800</v>
      </c>
      <c r="I29" s="15">
        <f>ROUND($E29*1.2,0)</f>
        <v>55200</v>
      </c>
      <c r="J29" s="15">
        <f>ROUND($E29*1.4,0)</f>
        <v>64400</v>
      </c>
    </row>
    <row r="30" spans="1:10" ht="20" customHeight="1" x14ac:dyDescent="0.35">
      <c r="A30" s="10">
        <v>27</v>
      </c>
      <c r="B30" s="10" t="s">
        <v>7</v>
      </c>
      <c r="C30" s="11"/>
      <c r="D30" s="11" t="s">
        <v>63</v>
      </c>
      <c r="E30" s="12">
        <v>345000</v>
      </c>
      <c r="F30" s="13">
        <f t="shared" si="0"/>
        <v>150</v>
      </c>
      <c r="G30" s="14">
        <f t="shared" si="1"/>
        <v>207000</v>
      </c>
      <c r="H30" s="14">
        <f t="shared" si="2"/>
        <v>276000</v>
      </c>
      <c r="I30" s="15">
        <f>ROUND($E30*1.2,0)</f>
        <v>414000</v>
      </c>
      <c r="J30" s="15">
        <f>ROUND($E30*1.4,0)</f>
        <v>483000</v>
      </c>
    </row>
    <row r="31" spans="1:10" ht="20" customHeight="1" x14ac:dyDescent="0.35">
      <c r="A31" s="6">
        <v>28</v>
      </c>
      <c r="B31" s="6" t="s">
        <v>7</v>
      </c>
      <c r="C31" s="5"/>
      <c r="D31" s="5" t="s">
        <v>64</v>
      </c>
      <c r="E31" s="12">
        <v>46000</v>
      </c>
      <c r="F31" s="16">
        <f t="shared" si="0"/>
        <v>20</v>
      </c>
      <c r="G31" s="17">
        <f t="shared" si="1"/>
        <v>27600</v>
      </c>
      <c r="H31" s="17">
        <f t="shared" si="2"/>
        <v>36800</v>
      </c>
      <c r="I31" s="17">
        <f>ROUND($E31*1.5,0)</f>
        <v>69000</v>
      </c>
      <c r="J31" s="18">
        <f>ROUND($E31*2,0)</f>
        <v>92000</v>
      </c>
    </row>
    <row r="32" spans="1:10" ht="20" customHeight="1" x14ac:dyDescent="0.35">
      <c r="A32" s="3">
        <v>29</v>
      </c>
      <c r="B32" s="3" t="s">
        <v>7</v>
      </c>
      <c r="C32" s="2"/>
      <c r="D32" s="2" t="s">
        <v>65</v>
      </c>
      <c r="E32" s="12">
        <v>34500</v>
      </c>
      <c r="F32" s="19">
        <f t="shared" si="0"/>
        <v>15</v>
      </c>
      <c r="G32" s="20">
        <f t="shared" si="1"/>
        <v>20700</v>
      </c>
      <c r="H32" s="20">
        <f t="shared" si="2"/>
        <v>27600</v>
      </c>
      <c r="I32" s="20">
        <f>ROUND($E32*1.5,0)</f>
        <v>51750</v>
      </c>
      <c r="J32" s="18">
        <f>ROUND($E32*2,0)</f>
        <v>69000</v>
      </c>
    </row>
    <row r="33" spans="1:10" ht="20" customHeight="1" x14ac:dyDescent="0.35">
      <c r="A33" s="6">
        <v>30</v>
      </c>
      <c r="B33" s="6" t="s">
        <v>7</v>
      </c>
      <c r="C33" s="5"/>
      <c r="D33" s="5" t="s">
        <v>66</v>
      </c>
      <c r="E33" s="12">
        <v>138000</v>
      </c>
      <c r="F33" s="16">
        <f t="shared" si="0"/>
        <v>60</v>
      </c>
      <c r="G33" s="17">
        <f t="shared" si="1"/>
        <v>82800</v>
      </c>
      <c r="H33" s="17">
        <f t="shared" si="2"/>
        <v>110400</v>
      </c>
      <c r="I33" s="17">
        <f>ROUND($E33*1.5,0)</f>
        <v>207000</v>
      </c>
      <c r="J33" s="18">
        <f>ROUND($E33*2,0)</f>
        <v>276000</v>
      </c>
    </row>
    <row r="34" spans="1:10" ht="20" customHeight="1" x14ac:dyDescent="0.35">
      <c r="A34" s="10">
        <v>31</v>
      </c>
      <c r="B34" s="10" t="s">
        <v>7</v>
      </c>
      <c r="C34" s="11"/>
      <c r="D34" s="11" t="s">
        <v>67</v>
      </c>
      <c r="E34" s="12">
        <v>46000</v>
      </c>
      <c r="F34" s="13">
        <f t="shared" si="0"/>
        <v>20</v>
      </c>
      <c r="G34" s="14">
        <f t="shared" si="1"/>
        <v>27600</v>
      </c>
      <c r="H34" s="14">
        <f t="shared" si="2"/>
        <v>36800</v>
      </c>
      <c r="I34" s="15">
        <f>ROUND($E34*1.2,0)</f>
        <v>55200</v>
      </c>
      <c r="J34" s="15">
        <f>ROUND($E34*1.4,0)</f>
        <v>64400</v>
      </c>
    </row>
    <row r="35" spans="1:10" ht="20" customHeight="1" x14ac:dyDescent="0.35">
      <c r="A35" s="10">
        <v>32</v>
      </c>
      <c r="B35" s="10" t="s">
        <v>7</v>
      </c>
      <c r="C35" s="11"/>
      <c r="D35" s="11" t="s">
        <v>68</v>
      </c>
      <c r="E35" s="12">
        <v>34500</v>
      </c>
      <c r="F35" s="13">
        <f t="shared" si="0"/>
        <v>15</v>
      </c>
      <c r="G35" s="14">
        <f t="shared" si="1"/>
        <v>20700</v>
      </c>
      <c r="H35" s="14">
        <f t="shared" si="2"/>
        <v>27600</v>
      </c>
      <c r="I35" s="15">
        <f>ROUND($E35*1.2,0)</f>
        <v>41400</v>
      </c>
      <c r="J35" s="15">
        <f>ROUND($E35*1.4,0)</f>
        <v>48300</v>
      </c>
    </row>
    <row r="36" spans="1:10" ht="20" customHeight="1" x14ac:dyDescent="0.35">
      <c r="A36" s="10">
        <v>33</v>
      </c>
      <c r="B36" s="10" t="s">
        <v>7</v>
      </c>
      <c r="C36" s="11"/>
      <c r="D36" s="11" t="s">
        <v>69</v>
      </c>
      <c r="E36" s="12">
        <v>46000</v>
      </c>
      <c r="F36" s="13">
        <f t="shared" si="0"/>
        <v>20</v>
      </c>
      <c r="G36" s="14">
        <f t="shared" si="1"/>
        <v>27600</v>
      </c>
      <c r="H36" s="14">
        <f t="shared" si="2"/>
        <v>36800</v>
      </c>
      <c r="I36" s="15">
        <f>ROUND($E36*1.2,0)</f>
        <v>55200</v>
      </c>
      <c r="J36" s="15">
        <f>ROUND($E36*1.4,0)</f>
        <v>64400</v>
      </c>
    </row>
    <row r="37" spans="1:10" ht="20" customHeight="1" x14ac:dyDescent="0.35">
      <c r="A37" s="10">
        <v>34</v>
      </c>
      <c r="B37" s="10" t="s">
        <v>7</v>
      </c>
      <c r="C37" s="11"/>
      <c r="D37" s="11" t="s">
        <v>70</v>
      </c>
      <c r="E37" s="12">
        <v>115000</v>
      </c>
      <c r="F37" s="13">
        <f t="shared" si="0"/>
        <v>50</v>
      </c>
      <c r="G37" s="14">
        <f t="shared" si="1"/>
        <v>69000</v>
      </c>
      <c r="H37" s="14">
        <f t="shared" si="2"/>
        <v>92000</v>
      </c>
      <c r="I37" s="15">
        <f>ROUND($E37*1.2,0)</f>
        <v>138000</v>
      </c>
      <c r="J37" s="15">
        <f>ROUND($E37*1.4,0)</f>
        <v>161000</v>
      </c>
    </row>
    <row r="38" spans="1:10" ht="20" customHeight="1" x14ac:dyDescent="0.35">
      <c r="A38" s="10">
        <v>35</v>
      </c>
      <c r="B38" s="10" t="s">
        <v>7</v>
      </c>
      <c r="C38" s="11"/>
      <c r="D38" s="11" t="s">
        <v>71</v>
      </c>
      <c r="E38" s="12">
        <v>276000</v>
      </c>
      <c r="F38" s="13">
        <f t="shared" si="0"/>
        <v>120</v>
      </c>
      <c r="G38" s="14">
        <f t="shared" si="1"/>
        <v>165600</v>
      </c>
      <c r="H38" s="14">
        <f t="shared" si="2"/>
        <v>220800</v>
      </c>
      <c r="I38" s="15">
        <f>ROUND($E38*1.2,0)</f>
        <v>331200</v>
      </c>
      <c r="J38" s="15">
        <f>ROUND($E38*1.4,0)</f>
        <v>386400</v>
      </c>
    </row>
    <row r="39" spans="1:10" ht="20" customHeight="1" x14ac:dyDescent="0.35">
      <c r="A39" s="6">
        <v>36</v>
      </c>
      <c r="B39" s="6" t="s">
        <v>7</v>
      </c>
      <c r="C39" s="5"/>
      <c r="D39" s="5" t="s">
        <v>72</v>
      </c>
      <c r="E39" s="12">
        <v>9200</v>
      </c>
      <c r="F39" s="16">
        <f t="shared" si="0"/>
        <v>4</v>
      </c>
      <c r="G39" s="17">
        <f t="shared" si="1"/>
        <v>5520</v>
      </c>
      <c r="H39" s="17">
        <f t="shared" si="2"/>
        <v>7360</v>
      </c>
      <c r="I39" s="17">
        <f t="shared" ref="I39:I46" si="5">ROUND($E39*1.5,0)</f>
        <v>13800</v>
      </c>
      <c r="J39" s="18">
        <f t="shared" ref="J39:J46" si="6">ROUND($E39*2,0)</f>
        <v>18400</v>
      </c>
    </row>
    <row r="40" spans="1:10" ht="20" customHeight="1" x14ac:dyDescent="0.35">
      <c r="A40" s="3">
        <v>37</v>
      </c>
      <c r="B40" s="3" t="s">
        <v>7</v>
      </c>
      <c r="C40" s="2"/>
      <c r="D40" s="2" t="s">
        <v>73</v>
      </c>
      <c r="E40" s="12">
        <v>23000</v>
      </c>
      <c r="F40" s="19">
        <f t="shared" si="0"/>
        <v>10</v>
      </c>
      <c r="G40" s="20">
        <f t="shared" si="1"/>
        <v>13800</v>
      </c>
      <c r="H40" s="20">
        <f t="shared" si="2"/>
        <v>18400</v>
      </c>
      <c r="I40" s="20">
        <f t="shared" si="5"/>
        <v>34500</v>
      </c>
      <c r="J40" s="18">
        <f t="shared" si="6"/>
        <v>46000</v>
      </c>
    </row>
    <row r="41" spans="1:10" ht="20" customHeight="1" x14ac:dyDescent="0.35">
      <c r="A41" s="6">
        <v>38</v>
      </c>
      <c r="B41" s="6" t="s">
        <v>7</v>
      </c>
      <c r="C41" s="5"/>
      <c r="D41" s="5" t="s">
        <v>74</v>
      </c>
      <c r="E41" s="12">
        <v>115000</v>
      </c>
      <c r="F41" s="16">
        <f t="shared" si="0"/>
        <v>50</v>
      </c>
      <c r="G41" s="17">
        <f t="shared" si="1"/>
        <v>69000</v>
      </c>
      <c r="H41" s="17">
        <f t="shared" si="2"/>
        <v>92000</v>
      </c>
      <c r="I41" s="17">
        <f t="shared" si="5"/>
        <v>172500</v>
      </c>
      <c r="J41" s="18">
        <f t="shared" si="6"/>
        <v>230000</v>
      </c>
    </row>
    <row r="42" spans="1:10" ht="20" customHeight="1" x14ac:dyDescent="0.35">
      <c r="A42" s="3">
        <v>39</v>
      </c>
      <c r="B42" s="3" t="s">
        <v>7</v>
      </c>
      <c r="C42" s="2"/>
      <c r="D42" s="2" t="s">
        <v>75</v>
      </c>
      <c r="E42" s="12">
        <v>23000</v>
      </c>
      <c r="F42" s="19">
        <f t="shared" si="0"/>
        <v>10</v>
      </c>
      <c r="G42" s="20">
        <f t="shared" si="1"/>
        <v>13800</v>
      </c>
      <c r="H42" s="20">
        <f t="shared" si="2"/>
        <v>18400</v>
      </c>
      <c r="I42" s="20">
        <f t="shared" si="5"/>
        <v>34500</v>
      </c>
      <c r="J42" s="18">
        <f t="shared" si="6"/>
        <v>46000</v>
      </c>
    </row>
    <row r="43" spans="1:10" ht="20" customHeight="1" x14ac:dyDescent="0.35">
      <c r="A43" s="6">
        <v>40</v>
      </c>
      <c r="B43" s="6" t="s">
        <v>7</v>
      </c>
      <c r="C43" s="5"/>
      <c r="D43" s="5" t="s">
        <v>76</v>
      </c>
      <c r="E43" s="12">
        <v>9200</v>
      </c>
      <c r="F43" s="16">
        <f t="shared" si="0"/>
        <v>4</v>
      </c>
      <c r="G43" s="17">
        <f t="shared" si="1"/>
        <v>5520</v>
      </c>
      <c r="H43" s="17">
        <f t="shared" si="2"/>
        <v>7360</v>
      </c>
      <c r="I43" s="17">
        <f t="shared" si="5"/>
        <v>13800</v>
      </c>
      <c r="J43" s="18">
        <f t="shared" si="6"/>
        <v>18400</v>
      </c>
    </row>
    <row r="44" spans="1:10" ht="20" customHeight="1" x14ac:dyDescent="0.35">
      <c r="A44" s="3">
        <v>41</v>
      </c>
      <c r="B44" s="3" t="s">
        <v>7</v>
      </c>
      <c r="C44" s="2"/>
      <c r="D44" s="2" t="s">
        <v>77</v>
      </c>
      <c r="E44" s="12">
        <v>11500</v>
      </c>
      <c r="F44" s="19">
        <f t="shared" si="0"/>
        <v>5</v>
      </c>
      <c r="G44" s="20">
        <f t="shared" si="1"/>
        <v>6900</v>
      </c>
      <c r="H44" s="20">
        <f t="shared" si="2"/>
        <v>9200</v>
      </c>
      <c r="I44" s="20">
        <f t="shared" si="5"/>
        <v>17250</v>
      </c>
      <c r="J44" s="18">
        <f t="shared" si="6"/>
        <v>23000</v>
      </c>
    </row>
    <row r="45" spans="1:10" ht="20" customHeight="1" x14ac:dyDescent="0.35">
      <c r="A45" s="6">
        <v>42</v>
      </c>
      <c r="B45" s="6" t="s">
        <v>7</v>
      </c>
      <c r="C45" s="5"/>
      <c r="D45" s="5" t="s">
        <v>78</v>
      </c>
      <c r="E45" s="12">
        <v>23000</v>
      </c>
      <c r="F45" s="16">
        <f t="shared" si="0"/>
        <v>10</v>
      </c>
      <c r="G45" s="17">
        <f t="shared" si="1"/>
        <v>13800</v>
      </c>
      <c r="H45" s="17">
        <f t="shared" si="2"/>
        <v>18400</v>
      </c>
      <c r="I45" s="17">
        <f t="shared" si="5"/>
        <v>34500</v>
      </c>
      <c r="J45" s="18">
        <f t="shared" si="6"/>
        <v>46000</v>
      </c>
    </row>
    <row r="46" spans="1:10" ht="20" customHeight="1" x14ac:dyDescent="0.35">
      <c r="A46" s="3">
        <v>43</v>
      </c>
      <c r="B46" s="3" t="s">
        <v>7</v>
      </c>
      <c r="C46" s="2"/>
      <c r="D46" s="2" t="s">
        <v>79</v>
      </c>
      <c r="E46" s="12">
        <v>23000</v>
      </c>
      <c r="F46" s="19">
        <f t="shared" si="0"/>
        <v>10</v>
      </c>
      <c r="G46" s="20">
        <f t="shared" si="1"/>
        <v>13800</v>
      </c>
      <c r="H46" s="20">
        <f t="shared" si="2"/>
        <v>18400</v>
      </c>
      <c r="I46" s="20">
        <f t="shared" si="5"/>
        <v>34500</v>
      </c>
      <c r="J46" s="18">
        <f t="shared" si="6"/>
        <v>46000</v>
      </c>
    </row>
    <row r="47" spans="1:10" ht="20" customHeight="1" x14ac:dyDescent="0.35">
      <c r="A47" s="10">
        <v>44</v>
      </c>
      <c r="B47" s="10" t="s">
        <v>10</v>
      </c>
      <c r="C47" s="11"/>
      <c r="D47" s="11" t="s">
        <v>37</v>
      </c>
      <c r="E47" s="12">
        <v>1035000</v>
      </c>
      <c r="F47" s="13">
        <f t="shared" si="0"/>
        <v>450</v>
      </c>
      <c r="G47" s="14">
        <f t="shared" si="1"/>
        <v>621000</v>
      </c>
      <c r="H47" s="14">
        <f t="shared" si="2"/>
        <v>828000</v>
      </c>
      <c r="I47" s="15">
        <f>ROUND($E47*1.2,0)</f>
        <v>1242000</v>
      </c>
      <c r="J47" s="15">
        <f>ROUND($E47*1.4,0)</f>
        <v>1449000</v>
      </c>
    </row>
    <row r="48" spans="1:10" ht="20" customHeight="1" x14ac:dyDescent="0.35">
      <c r="A48" s="3">
        <v>45</v>
      </c>
      <c r="B48" s="3" t="s">
        <v>10</v>
      </c>
      <c r="C48" s="2"/>
      <c r="D48" s="2" t="s">
        <v>80</v>
      </c>
      <c r="E48" s="12">
        <v>92000</v>
      </c>
      <c r="F48" s="19">
        <f t="shared" si="0"/>
        <v>40</v>
      </c>
      <c r="G48" s="20">
        <f t="shared" si="1"/>
        <v>55200</v>
      </c>
      <c r="H48" s="20">
        <f t="shared" si="2"/>
        <v>73600</v>
      </c>
      <c r="I48" s="20">
        <f>ROUND($E48*1.5,0)</f>
        <v>138000</v>
      </c>
      <c r="J48" s="18">
        <f>ROUND($E48*2,0)</f>
        <v>184000</v>
      </c>
    </row>
    <row r="49" spans="1:10" ht="20" customHeight="1" x14ac:dyDescent="0.35">
      <c r="A49" s="10">
        <v>46</v>
      </c>
      <c r="B49" s="10" t="s">
        <v>10</v>
      </c>
      <c r="C49" s="11"/>
      <c r="D49" s="11" t="s">
        <v>81</v>
      </c>
      <c r="E49" s="12">
        <v>460000</v>
      </c>
      <c r="F49" s="13">
        <f t="shared" si="0"/>
        <v>200</v>
      </c>
      <c r="G49" s="14">
        <f t="shared" si="1"/>
        <v>276000</v>
      </c>
      <c r="H49" s="14">
        <f t="shared" si="2"/>
        <v>368000</v>
      </c>
      <c r="I49" s="15">
        <f>ROUND($E49*1.2,0)</f>
        <v>552000</v>
      </c>
      <c r="J49" s="15">
        <f>ROUND($E49*1.4,0)</f>
        <v>644000</v>
      </c>
    </row>
    <row r="50" spans="1:10" ht="20" customHeight="1" x14ac:dyDescent="0.35">
      <c r="A50" s="3">
        <v>47</v>
      </c>
      <c r="B50" s="3" t="s">
        <v>10</v>
      </c>
      <c r="C50" s="2"/>
      <c r="D50" s="2" t="s">
        <v>82</v>
      </c>
      <c r="E50" s="12">
        <v>276000</v>
      </c>
      <c r="F50" s="19">
        <f t="shared" si="0"/>
        <v>120</v>
      </c>
      <c r="G50" s="20">
        <f t="shared" si="1"/>
        <v>165600</v>
      </c>
      <c r="H50" s="20">
        <f t="shared" si="2"/>
        <v>220800</v>
      </c>
      <c r="I50" s="20">
        <f>ROUND($E50*1.5,0)</f>
        <v>414000</v>
      </c>
      <c r="J50" s="18">
        <f>ROUND($E50*2,0)</f>
        <v>552000</v>
      </c>
    </row>
    <row r="51" spans="1:10" ht="20" customHeight="1" x14ac:dyDescent="0.35">
      <c r="A51" s="6">
        <v>48</v>
      </c>
      <c r="B51" s="6" t="s">
        <v>10</v>
      </c>
      <c r="C51" s="5"/>
      <c r="D51" s="5" t="s">
        <v>83</v>
      </c>
      <c r="E51" s="12">
        <v>322000</v>
      </c>
      <c r="F51" s="16">
        <f t="shared" si="0"/>
        <v>140</v>
      </c>
      <c r="G51" s="17">
        <f t="shared" si="1"/>
        <v>193200</v>
      </c>
      <c r="H51" s="17">
        <f t="shared" si="2"/>
        <v>257600</v>
      </c>
      <c r="I51" s="17">
        <f>ROUND($E51*1.5,0)</f>
        <v>483000</v>
      </c>
      <c r="J51" s="18">
        <f>ROUND($E51*2,0)</f>
        <v>644000</v>
      </c>
    </row>
    <row r="52" spans="1:10" ht="20" customHeight="1" x14ac:dyDescent="0.35">
      <c r="A52" s="10">
        <v>49</v>
      </c>
      <c r="B52" s="10" t="s">
        <v>10</v>
      </c>
      <c r="C52" s="11"/>
      <c r="D52" s="11" t="s">
        <v>84</v>
      </c>
      <c r="E52" s="12">
        <v>644000</v>
      </c>
      <c r="F52" s="13">
        <f t="shared" si="0"/>
        <v>280</v>
      </c>
      <c r="G52" s="14">
        <f t="shared" si="1"/>
        <v>386400</v>
      </c>
      <c r="H52" s="14">
        <f t="shared" si="2"/>
        <v>515200</v>
      </c>
      <c r="I52" s="15">
        <f>ROUND($E52*1.2,0)</f>
        <v>772800</v>
      </c>
      <c r="J52" s="15">
        <f>ROUND($E52*1.4,0)</f>
        <v>901600</v>
      </c>
    </row>
    <row r="53" spans="1:10" ht="20" customHeight="1" x14ac:dyDescent="0.35">
      <c r="A53" s="10">
        <v>50</v>
      </c>
      <c r="B53" s="10" t="s">
        <v>10</v>
      </c>
      <c r="C53" s="11"/>
      <c r="D53" s="11" t="s">
        <v>85</v>
      </c>
      <c r="E53" s="12">
        <v>575000</v>
      </c>
      <c r="F53" s="13">
        <f t="shared" si="0"/>
        <v>250</v>
      </c>
      <c r="G53" s="14">
        <f t="shared" si="1"/>
        <v>345000</v>
      </c>
      <c r="H53" s="14">
        <f t="shared" si="2"/>
        <v>460000</v>
      </c>
      <c r="I53" s="15">
        <f>ROUND($E53*1.2,0)</f>
        <v>690000</v>
      </c>
      <c r="J53" s="15">
        <f>ROUND($E53*1.4,0)</f>
        <v>805000</v>
      </c>
    </row>
    <row r="54" spans="1:10" ht="20" customHeight="1" x14ac:dyDescent="0.35">
      <c r="A54" s="10">
        <v>51</v>
      </c>
      <c r="B54" s="10" t="s">
        <v>10</v>
      </c>
      <c r="C54" s="11"/>
      <c r="D54" s="11" t="s">
        <v>86</v>
      </c>
      <c r="E54" s="12">
        <v>414000</v>
      </c>
      <c r="F54" s="13">
        <f t="shared" si="0"/>
        <v>180</v>
      </c>
      <c r="G54" s="14">
        <f t="shared" si="1"/>
        <v>248400</v>
      </c>
      <c r="H54" s="14">
        <f t="shared" si="2"/>
        <v>331200</v>
      </c>
      <c r="I54" s="15">
        <f>ROUND($E54*1.2,0)</f>
        <v>496800</v>
      </c>
      <c r="J54" s="15">
        <f>ROUND($E54*1.4,0)</f>
        <v>579600</v>
      </c>
    </row>
    <row r="55" spans="1:10" ht="20" customHeight="1" x14ac:dyDescent="0.35">
      <c r="A55" s="6">
        <v>52</v>
      </c>
      <c r="B55" s="6" t="s">
        <v>10</v>
      </c>
      <c r="C55" s="5"/>
      <c r="D55" s="5" t="s">
        <v>87</v>
      </c>
      <c r="E55" s="12">
        <v>230000</v>
      </c>
      <c r="F55" s="16">
        <f t="shared" si="0"/>
        <v>100</v>
      </c>
      <c r="G55" s="17">
        <f t="shared" si="1"/>
        <v>138000</v>
      </c>
      <c r="H55" s="17">
        <f t="shared" si="2"/>
        <v>184000</v>
      </c>
      <c r="I55" s="17">
        <f>ROUND($E55*1.5,0)</f>
        <v>345000</v>
      </c>
      <c r="J55" s="18">
        <f>ROUND($E55*2,0)</f>
        <v>460000</v>
      </c>
    </row>
    <row r="56" spans="1:10" ht="20" customHeight="1" x14ac:dyDescent="0.35">
      <c r="A56" s="3">
        <v>53</v>
      </c>
      <c r="B56" s="3" t="s">
        <v>10</v>
      </c>
      <c r="C56" s="2"/>
      <c r="D56" s="2" t="s">
        <v>88</v>
      </c>
      <c r="E56" s="12">
        <v>253000</v>
      </c>
      <c r="F56" s="19">
        <f t="shared" si="0"/>
        <v>110</v>
      </c>
      <c r="G56" s="20">
        <f t="shared" si="1"/>
        <v>151800</v>
      </c>
      <c r="H56" s="20">
        <f t="shared" si="2"/>
        <v>202400</v>
      </c>
      <c r="I56" s="20">
        <f>ROUND($E56*1.5,0)</f>
        <v>379500</v>
      </c>
      <c r="J56" s="18">
        <f>ROUND($E56*2,0)</f>
        <v>506000</v>
      </c>
    </row>
    <row r="57" spans="1:10" ht="20" customHeight="1" x14ac:dyDescent="0.35">
      <c r="A57" s="10">
        <v>54</v>
      </c>
      <c r="B57" s="10" t="s">
        <v>10</v>
      </c>
      <c r="C57" s="11"/>
      <c r="D57" s="11" t="s">
        <v>89</v>
      </c>
      <c r="E57" s="12">
        <v>299000</v>
      </c>
      <c r="F57" s="13">
        <f t="shared" si="0"/>
        <v>130</v>
      </c>
      <c r="G57" s="14">
        <f t="shared" si="1"/>
        <v>179400</v>
      </c>
      <c r="H57" s="14">
        <f t="shared" si="2"/>
        <v>239200</v>
      </c>
      <c r="I57" s="15">
        <f>ROUND($E57*1.2,0)</f>
        <v>358800</v>
      </c>
      <c r="J57" s="15">
        <f>ROUND($E57*1.4,0)</f>
        <v>418600</v>
      </c>
    </row>
    <row r="58" spans="1:10" ht="20" customHeight="1" x14ac:dyDescent="0.35">
      <c r="A58" s="10">
        <v>55</v>
      </c>
      <c r="B58" s="10" t="s">
        <v>10</v>
      </c>
      <c r="C58" s="11"/>
      <c r="D58" s="11" t="s">
        <v>90</v>
      </c>
      <c r="E58" s="12">
        <v>345000</v>
      </c>
      <c r="F58" s="13">
        <f t="shared" si="0"/>
        <v>150</v>
      </c>
      <c r="G58" s="14">
        <f t="shared" si="1"/>
        <v>207000</v>
      </c>
      <c r="H58" s="14">
        <f t="shared" si="2"/>
        <v>276000</v>
      </c>
      <c r="I58" s="15">
        <f>ROUND($E58*1.2,0)</f>
        <v>414000</v>
      </c>
      <c r="J58" s="15">
        <f>ROUND($E58*1.4,0)</f>
        <v>483000</v>
      </c>
    </row>
    <row r="59" spans="1:10" ht="20" customHeight="1" x14ac:dyDescent="0.35">
      <c r="A59" s="6">
        <v>56</v>
      </c>
      <c r="B59" s="6" t="s">
        <v>10</v>
      </c>
      <c r="C59" s="5"/>
      <c r="D59" s="5" t="s">
        <v>91</v>
      </c>
      <c r="E59" s="12">
        <v>80500</v>
      </c>
      <c r="F59" s="16">
        <f t="shared" si="0"/>
        <v>35</v>
      </c>
      <c r="G59" s="17">
        <f t="shared" si="1"/>
        <v>48300</v>
      </c>
      <c r="H59" s="17">
        <f t="shared" si="2"/>
        <v>64400</v>
      </c>
      <c r="I59" s="17">
        <f>ROUND($E59*1.5,0)</f>
        <v>120750</v>
      </c>
      <c r="J59" s="18">
        <f>ROUND($E59*2,0)</f>
        <v>161000</v>
      </c>
    </row>
    <row r="60" spans="1:10" ht="20" customHeight="1" x14ac:dyDescent="0.35">
      <c r="A60" s="10">
        <v>57</v>
      </c>
      <c r="B60" s="10" t="s">
        <v>10</v>
      </c>
      <c r="C60" s="11"/>
      <c r="D60" s="11" t="s">
        <v>40</v>
      </c>
      <c r="E60" s="12">
        <v>69000</v>
      </c>
      <c r="F60" s="13">
        <f t="shared" si="0"/>
        <v>30</v>
      </c>
      <c r="G60" s="14">
        <f t="shared" si="1"/>
        <v>41400</v>
      </c>
      <c r="H60" s="14">
        <f t="shared" si="2"/>
        <v>55200</v>
      </c>
      <c r="I60" s="15">
        <f t="shared" ref="I60:I66" si="7">ROUND($E60*1.2,0)</f>
        <v>82800</v>
      </c>
      <c r="J60" s="15">
        <f t="shared" ref="J60:J66" si="8">ROUND($E60*1.4,0)</f>
        <v>96600</v>
      </c>
    </row>
    <row r="61" spans="1:10" ht="20" customHeight="1" x14ac:dyDescent="0.35">
      <c r="A61" s="10">
        <v>58</v>
      </c>
      <c r="B61" s="10" t="s">
        <v>10</v>
      </c>
      <c r="C61" s="11"/>
      <c r="D61" s="11" t="s">
        <v>41</v>
      </c>
      <c r="E61" s="12">
        <v>57500</v>
      </c>
      <c r="F61" s="13">
        <f t="shared" si="0"/>
        <v>25</v>
      </c>
      <c r="G61" s="14">
        <f t="shared" si="1"/>
        <v>34500</v>
      </c>
      <c r="H61" s="14">
        <f t="shared" si="2"/>
        <v>46000</v>
      </c>
      <c r="I61" s="15">
        <f t="shared" si="7"/>
        <v>69000</v>
      </c>
      <c r="J61" s="15">
        <f t="shared" si="8"/>
        <v>80500</v>
      </c>
    </row>
    <row r="62" spans="1:10" ht="20" customHeight="1" x14ac:dyDescent="0.35">
      <c r="A62" s="10">
        <v>59</v>
      </c>
      <c r="B62" s="10" t="s">
        <v>10</v>
      </c>
      <c r="C62" s="11"/>
      <c r="D62" s="11" t="s">
        <v>42</v>
      </c>
      <c r="E62" s="12">
        <v>34500</v>
      </c>
      <c r="F62" s="13">
        <f t="shared" si="0"/>
        <v>15</v>
      </c>
      <c r="G62" s="14">
        <f t="shared" si="1"/>
        <v>20700</v>
      </c>
      <c r="H62" s="14">
        <f t="shared" si="2"/>
        <v>27600</v>
      </c>
      <c r="I62" s="15">
        <f t="shared" si="7"/>
        <v>41400</v>
      </c>
      <c r="J62" s="15">
        <f t="shared" si="8"/>
        <v>48300</v>
      </c>
    </row>
    <row r="63" spans="1:10" ht="20" customHeight="1" x14ac:dyDescent="0.35">
      <c r="A63" s="10">
        <v>60</v>
      </c>
      <c r="B63" s="10" t="s">
        <v>10</v>
      </c>
      <c r="C63" s="11"/>
      <c r="D63" s="11" t="s">
        <v>43</v>
      </c>
      <c r="E63" s="12">
        <v>57500</v>
      </c>
      <c r="F63" s="13">
        <f t="shared" si="0"/>
        <v>25</v>
      </c>
      <c r="G63" s="14">
        <f t="shared" si="1"/>
        <v>34500</v>
      </c>
      <c r="H63" s="14">
        <f t="shared" si="2"/>
        <v>46000</v>
      </c>
      <c r="I63" s="15">
        <f t="shared" si="7"/>
        <v>69000</v>
      </c>
      <c r="J63" s="15">
        <f t="shared" si="8"/>
        <v>80500</v>
      </c>
    </row>
    <row r="64" spans="1:10" ht="20" customHeight="1" x14ac:dyDescent="0.35">
      <c r="A64" s="10">
        <v>61</v>
      </c>
      <c r="B64" s="10" t="s">
        <v>10</v>
      </c>
      <c r="C64" s="11"/>
      <c r="D64" s="11" t="s">
        <v>44</v>
      </c>
      <c r="E64" s="12">
        <v>69000</v>
      </c>
      <c r="F64" s="13">
        <f t="shared" si="0"/>
        <v>30</v>
      </c>
      <c r="G64" s="14">
        <f t="shared" si="1"/>
        <v>41400</v>
      </c>
      <c r="H64" s="14">
        <f t="shared" si="2"/>
        <v>55200</v>
      </c>
      <c r="I64" s="15">
        <f t="shared" si="7"/>
        <v>82800</v>
      </c>
      <c r="J64" s="15">
        <f t="shared" si="8"/>
        <v>96600</v>
      </c>
    </row>
    <row r="65" spans="1:10" ht="20" customHeight="1" x14ac:dyDescent="0.35">
      <c r="A65" s="10">
        <v>62</v>
      </c>
      <c r="B65" s="10" t="s">
        <v>10</v>
      </c>
      <c r="C65" s="11"/>
      <c r="D65" s="11" t="s">
        <v>45</v>
      </c>
      <c r="E65" s="12">
        <v>69000</v>
      </c>
      <c r="F65" s="13">
        <f t="shared" si="0"/>
        <v>30</v>
      </c>
      <c r="G65" s="14">
        <f t="shared" si="1"/>
        <v>41400</v>
      </c>
      <c r="H65" s="14">
        <f t="shared" si="2"/>
        <v>55200</v>
      </c>
      <c r="I65" s="15">
        <f t="shared" si="7"/>
        <v>82800</v>
      </c>
      <c r="J65" s="15">
        <f t="shared" si="8"/>
        <v>96600</v>
      </c>
    </row>
    <row r="66" spans="1:10" ht="20" customHeight="1" x14ac:dyDescent="0.35">
      <c r="A66" s="10">
        <v>63</v>
      </c>
      <c r="B66" s="10" t="s">
        <v>10</v>
      </c>
      <c r="C66" s="11"/>
      <c r="D66" s="11" t="s">
        <v>92</v>
      </c>
      <c r="E66" s="12">
        <v>1150000</v>
      </c>
      <c r="F66" s="13">
        <f t="shared" si="0"/>
        <v>500</v>
      </c>
      <c r="G66" s="14">
        <f t="shared" si="1"/>
        <v>690000</v>
      </c>
      <c r="H66" s="14">
        <f t="shared" si="2"/>
        <v>920000</v>
      </c>
      <c r="I66" s="15">
        <f t="shared" si="7"/>
        <v>1380000</v>
      </c>
      <c r="J66" s="15">
        <f t="shared" si="8"/>
        <v>1610000</v>
      </c>
    </row>
    <row r="67" spans="1:10" ht="20" customHeight="1" x14ac:dyDescent="0.35">
      <c r="A67" s="6">
        <v>64</v>
      </c>
      <c r="B67" s="6" t="s">
        <v>10</v>
      </c>
      <c r="C67" s="5"/>
      <c r="D67" s="5" t="s">
        <v>47</v>
      </c>
      <c r="E67" s="12">
        <v>23000</v>
      </c>
      <c r="F67" s="16">
        <f t="shared" si="0"/>
        <v>10</v>
      </c>
      <c r="G67" s="17">
        <f t="shared" si="1"/>
        <v>13800</v>
      </c>
      <c r="H67" s="17">
        <f t="shared" si="2"/>
        <v>18400</v>
      </c>
      <c r="I67" s="17">
        <f>ROUND($E67*1.5,0)</f>
        <v>34500</v>
      </c>
      <c r="J67" s="18">
        <f>ROUND($E67*2,0)</f>
        <v>46000</v>
      </c>
    </row>
    <row r="68" spans="1:10" ht="20" customHeight="1" x14ac:dyDescent="0.35">
      <c r="A68" s="3">
        <v>65</v>
      </c>
      <c r="B68" s="3" t="s">
        <v>10</v>
      </c>
      <c r="C68" s="2"/>
      <c r="D68" s="2" t="s">
        <v>93</v>
      </c>
      <c r="E68" s="12">
        <v>69000</v>
      </c>
      <c r="F68" s="19">
        <f t="shared" ref="F68:F131" si="9">ROUND($E68/2300,2)</f>
        <v>30</v>
      </c>
      <c r="G68" s="20">
        <f t="shared" ref="G68:G131" si="10">ROUND($E68*0.6,0)</f>
        <v>41400</v>
      </c>
      <c r="H68" s="20">
        <f t="shared" ref="H68:H131" si="11">ROUND($E68*0.8,0)</f>
        <v>55200</v>
      </c>
      <c r="I68" s="20">
        <f>ROUND($E68*1.5,0)</f>
        <v>103500</v>
      </c>
      <c r="J68" s="18">
        <f>ROUND($E68*2,0)</f>
        <v>138000</v>
      </c>
    </row>
    <row r="69" spans="1:10" ht="20" customHeight="1" x14ac:dyDescent="0.35">
      <c r="A69" s="6">
        <v>66</v>
      </c>
      <c r="B69" s="6" t="s">
        <v>10</v>
      </c>
      <c r="C69" s="5"/>
      <c r="D69" s="5" t="s">
        <v>94</v>
      </c>
      <c r="E69" s="12">
        <v>138000</v>
      </c>
      <c r="F69" s="16">
        <f t="shared" si="9"/>
        <v>60</v>
      </c>
      <c r="G69" s="17">
        <f t="shared" si="10"/>
        <v>82800</v>
      </c>
      <c r="H69" s="17">
        <f t="shared" si="11"/>
        <v>110400</v>
      </c>
      <c r="I69" s="17">
        <f>ROUND($E69*1.5,0)</f>
        <v>207000</v>
      </c>
      <c r="J69" s="18">
        <f>ROUND($E69*2,0)</f>
        <v>276000</v>
      </c>
    </row>
    <row r="70" spans="1:10" ht="20" customHeight="1" x14ac:dyDescent="0.35">
      <c r="A70" s="3">
        <v>67</v>
      </c>
      <c r="B70" s="3" t="s">
        <v>10</v>
      </c>
      <c r="C70" s="2"/>
      <c r="D70" s="2" t="s">
        <v>95</v>
      </c>
      <c r="E70" s="12">
        <v>138000</v>
      </c>
      <c r="F70" s="19">
        <f t="shared" si="9"/>
        <v>60</v>
      </c>
      <c r="G70" s="20">
        <f t="shared" si="10"/>
        <v>82800</v>
      </c>
      <c r="H70" s="20">
        <f t="shared" si="11"/>
        <v>110400</v>
      </c>
      <c r="I70" s="20">
        <f>ROUND($E70*1.5,0)</f>
        <v>207000</v>
      </c>
      <c r="J70" s="18">
        <f>ROUND($E70*2,0)</f>
        <v>276000</v>
      </c>
    </row>
    <row r="71" spans="1:10" ht="20" customHeight="1" x14ac:dyDescent="0.35">
      <c r="A71" s="10">
        <v>68</v>
      </c>
      <c r="B71" s="10" t="s">
        <v>10</v>
      </c>
      <c r="C71" s="11"/>
      <c r="D71" s="11" t="s">
        <v>96</v>
      </c>
      <c r="E71" s="12">
        <v>230000</v>
      </c>
      <c r="F71" s="13">
        <f t="shared" si="9"/>
        <v>100</v>
      </c>
      <c r="G71" s="14">
        <f t="shared" si="10"/>
        <v>138000</v>
      </c>
      <c r="H71" s="14">
        <f t="shared" si="11"/>
        <v>184000</v>
      </c>
      <c r="I71" s="15">
        <f>ROUND($E71*1.2,0)</f>
        <v>276000</v>
      </c>
      <c r="J71" s="15">
        <f>ROUND($E71*1.4,0)</f>
        <v>322000</v>
      </c>
    </row>
    <row r="72" spans="1:10" ht="20" customHeight="1" x14ac:dyDescent="0.35">
      <c r="A72" s="10">
        <v>69</v>
      </c>
      <c r="B72" s="10" t="s">
        <v>10</v>
      </c>
      <c r="C72" s="11"/>
      <c r="D72" s="11" t="s">
        <v>97</v>
      </c>
      <c r="E72" s="12">
        <v>2760000</v>
      </c>
      <c r="F72" s="13">
        <f t="shared" si="9"/>
        <v>1200</v>
      </c>
      <c r="G72" s="14">
        <f t="shared" si="10"/>
        <v>1656000</v>
      </c>
      <c r="H72" s="14">
        <f t="shared" si="11"/>
        <v>2208000</v>
      </c>
      <c r="I72" s="15">
        <f>ROUND($E72*1.2,0)</f>
        <v>3312000</v>
      </c>
      <c r="J72" s="15">
        <f>ROUND($E72*1.4,0)</f>
        <v>3864000</v>
      </c>
    </row>
    <row r="73" spans="1:10" ht="20" customHeight="1" x14ac:dyDescent="0.35">
      <c r="A73" s="10">
        <v>70</v>
      </c>
      <c r="B73" s="10" t="s">
        <v>10</v>
      </c>
      <c r="C73" s="11"/>
      <c r="D73" s="11" t="s">
        <v>98</v>
      </c>
      <c r="E73" s="12">
        <v>1840000</v>
      </c>
      <c r="F73" s="13">
        <f t="shared" si="9"/>
        <v>800</v>
      </c>
      <c r="G73" s="14">
        <f t="shared" si="10"/>
        <v>1104000</v>
      </c>
      <c r="H73" s="14">
        <f t="shared" si="11"/>
        <v>1472000</v>
      </c>
      <c r="I73" s="15">
        <f>ROUND($E73*1.2,0)</f>
        <v>2208000</v>
      </c>
      <c r="J73" s="15">
        <f>ROUND($E73*1.4,0)</f>
        <v>2576000</v>
      </c>
    </row>
    <row r="74" spans="1:10" ht="20" customHeight="1" x14ac:dyDescent="0.35">
      <c r="A74" s="3">
        <v>71</v>
      </c>
      <c r="B74" s="3" t="s">
        <v>10</v>
      </c>
      <c r="C74" s="2"/>
      <c r="D74" s="2" t="s">
        <v>50</v>
      </c>
      <c r="E74" s="12">
        <v>23000</v>
      </c>
      <c r="F74" s="19">
        <f t="shared" si="9"/>
        <v>10</v>
      </c>
      <c r="G74" s="20">
        <f t="shared" si="10"/>
        <v>13800</v>
      </c>
      <c r="H74" s="20">
        <f t="shared" si="11"/>
        <v>18400</v>
      </c>
      <c r="I74" s="20">
        <f>ROUND($E74*1.5,0)</f>
        <v>34500</v>
      </c>
      <c r="J74" s="18">
        <f>ROUND($E74*2,0)</f>
        <v>46000</v>
      </c>
    </row>
    <row r="75" spans="1:10" ht="20" customHeight="1" x14ac:dyDescent="0.35">
      <c r="A75" s="6">
        <v>72</v>
      </c>
      <c r="B75" s="6" t="s">
        <v>10</v>
      </c>
      <c r="C75" s="5"/>
      <c r="D75" s="5" t="s">
        <v>51</v>
      </c>
      <c r="E75" s="12">
        <v>34500</v>
      </c>
      <c r="F75" s="16">
        <f t="shared" si="9"/>
        <v>15</v>
      </c>
      <c r="G75" s="17">
        <f t="shared" si="10"/>
        <v>20700</v>
      </c>
      <c r="H75" s="17">
        <f t="shared" si="11"/>
        <v>27600</v>
      </c>
      <c r="I75" s="17">
        <f>ROUND($E75*1.5,0)</f>
        <v>51750</v>
      </c>
      <c r="J75" s="18">
        <f>ROUND($E75*2,0)</f>
        <v>69000</v>
      </c>
    </row>
    <row r="76" spans="1:10" ht="20" customHeight="1" x14ac:dyDescent="0.35">
      <c r="A76" s="3">
        <v>73</v>
      </c>
      <c r="B76" s="3" t="s">
        <v>10</v>
      </c>
      <c r="C76" s="2"/>
      <c r="D76" s="2" t="s">
        <v>99</v>
      </c>
      <c r="E76" s="12">
        <v>230000</v>
      </c>
      <c r="F76" s="19">
        <f t="shared" si="9"/>
        <v>100</v>
      </c>
      <c r="G76" s="20">
        <f t="shared" si="10"/>
        <v>138000</v>
      </c>
      <c r="H76" s="20">
        <f t="shared" si="11"/>
        <v>184000</v>
      </c>
      <c r="I76" s="20">
        <f>ROUND($E76*1.5,0)</f>
        <v>345000</v>
      </c>
      <c r="J76" s="18">
        <f>ROUND($E76*2,0)</f>
        <v>460000</v>
      </c>
    </row>
    <row r="77" spans="1:10" ht="20" customHeight="1" x14ac:dyDescent="0.35">
      <c r="A77" s="6">
        <v>74</v>
      </c>
      <c r="B77" s="6" t="s">
        <v>10</v>
      </c>
      <c r="C77" s="5"/>
      <c r="D77" s="5" t="s">
        <v>100</v>
      </c>
      <c r="E77" s="12">
        <v>184000</v>
      </c>
      <c r="F77" s="16">
        <f t="shared" si="9"/>
        <v>80</v>
      </c>
      <c r="G77" s="17">
        <f t="shared" si="10"/>
        <v>110400</v>
      </c>
      <c r="H77" s="17">
        <f t="shared" si="11"/>
        <v>147200</v>
      </c>
      <c r="I77" s="17">
        <f>ROUND($E77*1.5,0)</f>
        <v>276000</v>
      </c>
      <c r="J77" s="18">
        <f>ROUND($E77*2,0)</f>
        <v>368000</v>
      </c>
    </row>
    <row r="78" spans="1:10" ht="20" customHeight="1" x14ac:dyDescent="0.35">
      <c r="A78" s="10">
        <v>75</v>
      </c>
      <c r="B78" s="10" t="s">
        <v>10</v>
      </c>
      <c r="C78" s="11"/>
      <c r="D78" s="11" t="s">
        <v>101</v>
      </c>
      <c r="E78" s="12">
        <v>1150000</v>
      </c>
      <c r="F78" s="13">
        <f t="shared" si="9"/>
        <v>500</v>
      </c>
      <c r="G78" s="14">
        <f t="shared" si="10"/>
        <v>690000</v>
      </c>
      <c r="H78" s="14">
        <f t="shared" si="11"/>
        <v>920000</v>
      </c>
      <c r="I78" s="15">
        <f t="shared" ref="I78:I83" si="12">ROUND($E78*1.2,0)</f>
        <v>1380000</v>
      </c>
      <c r="J78" s="15">
        <f t="shared" ref="J78:J83" si="13">ROUND($E78*1.4,0)</f>
        <v>1610000</v>
      </c>
    </row>
    <row r="79" spans="1:10" ht="20" customHeight="1" x14ac:dyDescent="0.35">
      <c r="A79" s="10">
        <v>76</v>
      </c>
      <c r="B79" s="10" t="s">
        <v>10</v>
      </c>
      <c r="C79" s="11"/>
      <c r="D79" s="11" t="s">
        <v>102</v>
      </c>
      <c r="E79" s="12">
        <v>1495000</v>
      </c>
      <c r="F79" s="13">
        <f t="shared" si="9"/>
        <v>650</v>
      </c>
      <c r="G79" s="14">
        <f t="shared" si="10"/>
        <v>897000</v>
      </c>
      <c r="H79" s="14">
        <f t="shared" si="11"/>
        <v>1196000</v>
      </c>
      <c r="I79" s="15">
        <f t="shared" si="12"/>
        <v>1794000</v>
      </c>
      <c r="J79" s="15">
        <f t="shared" si="13"/>
        <v>2093000</v>
      </c>
    </row>
    <row r="80" spans="1:10" ht="20" customHeight="1" x14ac:dyDescent="0.35">
      <c r="A80" s="10">
        <v>77</v>
      </c>
      <c r="B80" s="10" t="s">
        <v>10</v>
      </c>
      <c r="C80" s="11"/>
      <c r="D80" s="11" t="s">
        <v>103</v>
      </c>
      <c r="E80" s="12">
        <v>1380000</v>
      </c>
      <c r="F80" s="13">
        <f t="shared" si="9"/>
        <v>600</v>
      </c>
      <c r="G80" s="14">
        <f t="shared" si="10"/>
        <v>828000</v>
      </c>
      <c r="H80" s="14">
        <f t="shared" si="11"/>
        <v>1104000</v>
      </c>
      <c r="I80" s="15">
        <f t="shared" si="12"/>
        <v>1656000</v>
      </c>
      <c r="J80" s="15">
        <f t="shared" si="13"/>
        <v>1932000</v>
      </c>
    </row>
    <row r="81" spans="1:10" ht="20" customHeight="1" x14ac:dyDescent="0.35">
      <c r="A81" s="10">
        <v>78</v>
      </c>
      <c r="B81" s="10" t="s">
        <v>10</v>
      </c>
      <c r="C81" s="11"/>
      <c r="D81" s="11" t="s">
        <v>104</v>
      </c>
      <c r="E81" s="12">
        <v>1150000</v>
      </c>
      <c r="F81" s="13">
        <f t="shared" si="9"/>
        <v>500</v>
      </c>
      <c r="G81" s="14">
        <f t="shared" si="10"/>
        <v>690000</v>
      </c>
      <c r="H81" s="14">
        <f t="shared" si="11"/>
        <v>920000</v>
      </c>
      <c r="I81" s="15">
        <f t="shared" si="12"/>
        <v>1380000</v>
      </c>
      <c r="J81" s="15">
        <f t="shared" si="13"/>
        <v>1610000</v>
      </c>
    </row>
    <row r="82" spans="1:10" ht="20" customHeight="1" x14ac:dyDescent="0.35">
      <c r="A82" s="10">
        <v>79</v>
      </c>
      <c r="B82" s="10" t="s">
        <v>10</v>
      </c>
      <c r="C82" s="11"/>
      <c r="D82" s="11" t="s">
        <v>105</v>
      </c>
      <c r="E82" s="12">
        <v>1150000</v>
      </c>
      <c r="F82" s="13">
        <f t="shared" si="9"/>
        <v>500</v>
      </c>
      <c r="G82" s="14">
        <f t="shared" si="10"/>
        <v>690000</v>
      </c>
      <c r="H82" s="14">
        <f t="shared" si="11"/>
        <v>920000</v>
      </c>
      <c r="I82" s="15">
        <f t="shared" si="12"/>
        <v>1380000</v>
      </c>
      <c r="J82" s="15">
        <f t="shared" si="13"/>
        <v>1610000</v>
      </c>
    </row>
    <row r="83" spans="1:10" ht="20" customHeight="1" x14ac:dyDescent="0.35">
      <c r="A83" s="10">
        <v>80</v>
      </c>
      <c r="B83" s="10" t="s">
        <v>10</v>
      </c>
      <c r="C83" s="11"/>
      <c r="D83" s="11" t="s">
        <v>106</v>
      </c>
      <c r="E83" s="12">
        <v>920000</v>
      </c>
      <c r="F83" s="13">
        <f t="shared" si="9"/>
        <v>400</v>
      </c>
      <c r="G83" s="14">
        <f t="shared" si="10"/>
        <v>552000</v>
      </c>
      <c r="H83" s="14">
        <f t="shared" si="11"/>
        <v>736000</v>
      </c>
      <c r="I83" s="15">
        <f t="shared" si="12"/>
        <v>1104000</v>
      </c>
      <c r="J83" s="15">
        <f t="shared" si="13"/>
        <v>1288000</v>
      </c>
    </row>
    <row r="84" spans="1:10" ht="20" customHeight="1" x14ac:dyDescent="0.35">
      <c r="A84" s="3">
        <v>81</v>
      </c>
      <c r="B84" s="3" t="s">
        <v>10</v>
      </c>
      <c r="C84" s="2"/>
      <c r="D84" s="2" t="s">
        <v>107</v>
      </c>
      <c r="E84" s="12">
        <v>345000</v>
      </c>
      <c r="F84" s="19">
        <f t="shared" si="9"/>
        <v>150</v>
      </c>
      <c r="G84" s="20">
        <f t="shared" si="10"/>
        <v>207000</v>
      </c>
      <c r="H84" s="20">
        <f t="shared" si="11"/>
        <v>276000</v>
      </c>
      <c r="I84" s="20">
        <f>ROUND($E84*1.5,0)</f>
        <v>517500</v>
      </c>
      <c r="J84" s="18">
        <f>ROUND($E84*2,0)</f>
        <v>690000</v>
      </c>
    </row>
    <row r="85" spans="1:10" ht="20" customHeight="1" x14ac:dyDescent="0.35">
      <c r="A85" s="6">
        <v>82</v>
      </c>
      <c r="B85" s="6" t="s">
        <v>10</v>
      </c>
      <c r="C85" s="5"/>
      <c r="D85" s="5" t="s">
        <v>108</v>
      </c>
      <c r="E85" s="12">
        <v>34500</v>
      </c>
      <c r="F85" s="16">
        <f t="shared" si="9"/>
        <v>15</v>
      </c>
      <c r="G85" s="17">
        <f t="shared" si="10"/>
        <v>20700</v>
      </c>
      <c r="H85" s="17">
        <f t="shared" si="11"/>
        <v>27600</v>
      </c>
      <c r="I85" s="17">
        <f>ROUND($E85*1.5,0)</f>
        <v>51750</v>
      </c>
      <c r="J85" s="18">
        <f>ROUND($E85*2,0)</f>
        <v>69000</v>
      </c>
    </row>
    <row r="86" spans="1:10" ht="20" customHeight="1" x14ac:dyDescent="0.35">
      <c r="A86" s="3">
        <v>83</v>
      </c>
      <c r="B86" s="3" t="s">
        <v>10</v>
      </c>
      <c r="C86" s="2"/>
      <c r="D86" s="2" t="s">
        <v>109</v>
      </c>
      <c r="E86" s="12">
        <v>230000</v>
      </c>
      <c r="F86" s="19">
        <f t="shared" si="9"/>
        <v>100</v>
      </c>
      <c r="G86" s="20">
        <f t="shared" si="10"/>
        <v>138000</v>
      </c>
      <c r="H86" s="20">
        <f t="shared" si="11"/>
        <v>184000</v>
      </c>
      <c r="I86" s="20">
        <f>ROUND($E86*1.5,0)</f>
        <v>345000</v>
      </c>
      <c r="J86" s="18">
        <f>ROUND($E86*2,0)</f>
        <v>460000</v>
      </c>
    </row>
    <row r="87" spans="1:10" ht="20" customHeight="1" x14ac:dyDescent="0.35">
      <c r="A87" s="10">
        <v>84</v>
      </c>
      <c r="B87" s="10" t="s">
        <v>10</v>
      </c>
      <c r="C87" s="11"/>
      <c r="D87" s="11" t="s">
        <v>55</v>
      </c>
      <c r="E87" s="12">
        <v>736000</v>
      </c>
      <c r="F87" s="13">
        <f t="shared" si="9"/>
        <v>320</v>
      </c>
      <c r="G87" s="14">
        <f t="shared" si="10"/>
        <v>441600</v>
      </c>
      <c r="H87" s="14">
        <f t="shared" si="11"/>
        <v>588800</v>
      </c>
      <c r="I87" s="15">
        <f>ROUND($E87*1.2,0)</f>
        <v>883200</v>
      </c>
      <c r="J87" s="15">
        <f>ROUND($E87*1.4,0)</f>
        <v>1030400</v>
      </c>
    </row>
    <row r="88" spans="1:10" ht="20" customHeight="1" x14ac:dyDescent="0.35">
      <c r="A88" s="10">
        <v>85</v>
      </c>
      <c r="B88" s="10" t="s">
        <v>10</v>
      </c>
      <c r="C88" s="11"/>
      <c r="D88" s="11" t="s">
        <v>110</v>
      </c>
      <c r="E88" s="12">
        <v>1840000</v>
      </c>
      <c r="F88" s="13">
        <f t="shared" si="9"/>
        <v>800</v>
      </c>
      <c r="G88" s="14">
        <f t="shared" si="10"/>
        <v>1104000</v>
      </c>
      <c r="H88" s="14">
        <f t="shared" si="11"/>
        <v>1472000</v>
      </c>
      <c r="I88" s="15">
        <f>ROUND($E88*1.2,0)</f>
        <v>2208000</v>
      </c>
      <c r="J88" s="15">
        <f>ROUND($E88*1.4,0)</f>
        <v>2576000</v>
      </c>
    </row>
    <row r="89" spans="1:10" ht="20" customHeight="1" x14ac:dyDescent="0.35">
      <c r="A89" s="6">
        <v>86</v>
      </c>
      <c r="B89" s="6" t="s">
        <v>10</v>
      </c>
      <c r="C89" s="5"/>
      <c r="D89" s="5" t="s">
        <v>59</v>
      </c>
      <c r="E89" s="12">
        <v>11500</v>
      </c>
      <c r="F89" s="16">
        <f t="shared" si="9"/>
        <v>5</v>
      </c>
      <c r="G89" s="17">
        <f t="shared" si="10"/>
        <v>6900</v>
      </c>
      <c r="H89" s="17">
        <f t="shared" si="11"/>
        <v>9200</v>
      </c>
      <c r="I89" s="17">
        <f>ROUND($E89*1.5,0)</f>
        <v>17250</v>
      </c>
      <c r="J89" s="18">
        <f>ROUND($E89*2,0)</f>
        <v>23000</v>
      </c>
    </row>
    <row r="90" spans="1:10" ht="20" customHeight="1" x14ac:dyDescent="0.35">
      <c r="A90" s="10">
        <v>87</v>
      </c>
      <c r="B90" s="10" t="s">
        <v>10</v>
      </c>
      <c r="C90" s="11"/>
      <c r="D90" s="11" t="s">
        <v>60</v>
      </c>
      <c r="E90" s="12">
        <v>34500</v>
      </c>
      <c r="F90" s="13">
        <f t="shared" si="9"/>
        <v>15</v>
      </c>
      <c r="G90" s="14">
        <f t="shared" si="10"/>
        <v>20700</v>
      </c>
      <c r="H90" s="14">
        <f t="shared" si="11"/>
        <v>27600</v>
      </c>
      <c r="I90" s="15">
        <f>ROUND($E90*1.2,0)</f>
        <v>41400</v>
      </c>
      <c r="J90" s="15">
        <f>ROUND($E90*1.4,0)</f>
        <v>48300</v>
      </c>
    </row>
    <row r="91" spans="1:10" ht="20" customHeight="1" x14ac:dyDescent="0.35">
      <c r="A91" s="6">
        <v>88</v>
      </c>
      <c r="B91" s="6" t="s">
        <v>10</v>
      </c>
      <c r="C91" s="5"/>
      <c r="D91" s="5" t="s">
        <v>111</v>
      </c>
      <c r="E91" s="12">
        <v>69000</v>
      </c>
      <c r="F91" s="16">
        <f t="shared" si="9"/>
        <v>30</v>
      </c>
      <c r="G91" s="17">
        <f t="shared" si="10"/>
        <v>41400</v>
      </c>
      <c r="H91" s="17">
        <f t="shared" si="11"/>
        <v>55200</v>
      </c>
      <c r="I91" s="17">
        <f>ROUND($E91*1.5,0)</f>
        <v>103500</v>
      </c>
      <c r="J91" s="18">
        <f>ROUND($E91*2,0)</f>
        <v>138000</v>
      </c>
    </row>
    <row r="92" spans="1:10" ht="20" customHeight="1" x14ac:dyDescent="0.35">
      <c r="A92" s="10">
        <v>89</v>
      </c>
      <c r="B92" s="10" t="s">
        <v>10</v>
      </c>
      <c r="C92" s="11"/>
      <c r="D92" s="11" t="s">
        <v>112</v>
      </c>
      <c r="E92" s="12">
        <v>920000</v>
      </c>
      <c r="F92" s="13">
        <f t="shared" si="9"/>
        <v>400</v>
      </c>
      <c r="G92" s="14">
        <f t="shared" si="10"/>
        <v>552000</v>
      </c>
      <c r="H92" s="14">
        <f t="shared" si="11"/>
        <v>736000</v>
      </c>
      <c r="I92" s="15">
        <f>ROUND($E92*1.2,0)</f>
        <v>1104000</v>
      </c>
      <c r="J92" s="15">
        <f>ROUND($E92*1.4,0)</f>
        <v>1288000</v>
      </c>
    </row>
    <row r="93" spans="1:10" ht="20" customHeight="1" x14ac:dyDescent="0.35">
      <c r="A93" s="10">
        <v>90</v>
      </c>
      <c r="B93" s="10" t="s">
        <v>10</v>
      </c>
      <c r="C93" s="11"/>
      <c r="D93" s="11" t="s">
        <v>113</v>
      </c>
      <c r="E93" s="12">
        <v>1035000</v>
      </c>
      <c r="F93" s="13">
        <f t="shared" si="9"/>
        <v>450</v>
      </c>
      <c r="G93" s="14">
        <f t="shared" si="10"/>
        <v>621000</v>
      </c>
      <c r="H93" s="14">
        <f t="shared" si="11"/>
        <v>828000</v>
      </c>
      <c r="I93" s="15">
        <f>ROUND($E93*1.2,0)</f>
        <v>1242000</v>
      </c>
      <c r="J93" s="15">
        <f>ROUND($E93*1.4,0)</f>
        <v>1449000</v>
      </c>
    </row>
    <row r="94" spans="1:10" ht="20" customHeight="1" x14ac:dyDescent="0.35">
      <c r="A94" s="3">
        <v>91</v>
      </c>
      <c r="B94" s="3" t="s">
        <v>10</v>
      </c>
      <c r="C94" s="2"/>
      <c r="D94" s="2" t="s">
        <v>114</v>
      </c>
      <c r="E94" s="12">
        <v>115000</v>
      </c>
      <c r="F94" s="19">
        <f t="shared" si="9"/>
        <v>50</v>
      </c>
      <c r="G94" s="20">
        <f t="shared" si="10"/>
        <v>69000</v>
      </c>
      <c r="H94" s="20">
        <f t="shared" si="11"/>
        <v>92000</v>
      </c>
      <c r="I94" s="20">
        <f>ROUND($E94*1.5,0)</f>
        <v>172500</v>
      </c>
      <c r="J94" s="18">
        <f>ROUND($E94*2,0)</f>
        <v>230000</v>
      </c>
    </row>
    <row r="95" spans="1:10" ht="20" customHeight="1" x14ac:dyDescent="0.35">
      <c r="A95" s="10">
        <v>92</v>
      </c>
      <c r="B95" s="10" t="s">
        <v>10</v>
      </c>
      <c r="C95" s="11"/>
      <c r="D95" s="11" t="s">
        <v>115</v>
      </c>
      <c r="E95" s="12">
        <v>230000</v>
      </c>
      <c r="F95" s="13">
        <f t="shared" si="9"/>
        <v>100</v>
      </c>
      <c r="G95" s="14">
        <f t="shared" si="10"/>
        <v>138000</v>
      </c>
      <c r="H95" s="14">
        <f t="shared" si="11"/>
        <v>184000</v>
      </c>
      <c r="I95" s="15">
        <f>ROUND($E95*1.2,0)</f>
        <v>276000</v>
      </c>
      <c r="J95" s="15">
        <f>ROUND($E95*1.4,0)</f>
        <v>322000</v>
      </c>
    </row>
    <row r="96" spans="1:10" ht="20" customHeight="1" x14ac:dyDescent="0.35">
      <c r="A96" s="3">
        <v>93</v>
      </c>
      <c r="B96" s="3" t="s">
        <v>10</v>
      </c>
      <c r="C96" s="2"/>
      <c r="D96" s="2" t="s">
        <v>116</v>
      </c>
      <c r="E96" s="12">
        <v>161000</v>
      </c>
      <c r="F96" s="19">
        <f t="shared" si="9"/>
        <v>70</v>
      </c>
      <c r="G96" s="20">
        <f t="shared" si="10"/>
        <v>96600</v>
      </c>
      <c r="H96" s="20">
        <f t="shared" si="11"/>
        <v>128800</v>
      </c>
      <c r="I96" s="20">
        <f>ROUND($E96*1.5,0)</f>
        <v>241500</v>
      </c>
      <c r="J96" s="18">
        <f>ROUND($E96*2,0)</f>
        <v>322000</v>
      </c>
    </row>
    <row r="97" spans="1:10" ht="20" customHeight="1" x14ac:dyDescent="0.35">
      <c r="A97" s="10">
        <v>94</v>
      </c>
      <c r="B97" s="10" t="s">
        <v>10</v>
      </c>
      <c r="C97" s="11"/>
      <c r="D97" s="11" t="s">
        <v>117</v>
      </c>
      <c r="E97" s="12">
        <v>920000</v>
      </c>
      <c r="F97" s="13">
        <f t="shared" si="9"/>
        <v>400</v>
      </c>
      <c r="G97" s="14">
        <f t="shared" si="10"/>
        <v>552000</v>
      </c>
      <c r="H97" s="14">
        <f t="shared" si="11"/>
        <v>736000</v>
      </c>
      <c r="I97" s="15">
        <f t="shared" ref="I97:I103" si="14">ROUND($E97*1.2,0)</f>
        <v>1104000</v>
      </c>
      <c r="J97" s="15">
        <f t="shared" ref="J97:J103" si="15">ROUND($E97*1.4,0)</f>
        <v>1288000</v>
      </c>
    </row>
    <row r="98" spans="1:10" ht="20" customHeight="1" x14ac:dyDescent="0.35">
      <c r="A98" s="10">
        <v>95</v>
      </c>
      <c r="B98" s="10" t="s">
        <v>10</v>
      </c>
      <c r="C98" s="11"/>
      <c r="D98" s="11" t="s">
        <v>118</v>
      </c>
      <c r="E98" s="12">
        <v>690000</v>
      </c>
      <c r="F98" s="13">
        <f t="shared" si="9"/>
        <v>300</v>
      </c>
      <c r="G98" s="14">
        <f t="shared" si="10"/>
        <v>414000</v>
      </c>
      <c r="H98" s="14">
        <f t="shared" si="11"/>
        <v>552000</v>
      </c>
      <c r="I98" s="15">
        <f t="shared" si="14"/>
        <v>828000</v>
      </c>
      <c r="J98" s="15">
        <f t="shared" si="15"/>
        <v>966000</v>
      </c>
    </row>
    <row r="99" spans="1:10" ht="20" customHeight="1" x14ac:dyDescent="0.35">
      <c r="A99" s="10">
        <v>96</v>
      </c>
      <c r="B99" s="10" t="s">
        <v>10</v>
      </c>
      <c r="C99" s="11"/>
      <c r="D99" s="11" t="s">
        <v>119</v>
      </c>
      <c r="E99" s="12">
        <v>1840000</v>
      </c>
      <c r="F99" s="13">
        <f t="shared" si="9"/>
        <v>800</v>
      </c>
      <c r="G99" s="14">
        <f t="shared" si="10"/>
        <v>1104000</v>
      </c>
      <c r="H99" s="14">
        <f t="shared" si="11"/>
        <v>1472000</v>
      </c>
      <c r="I99" s="15">
        <f t="shared" si="14"/>
        <v>2208000</v>
      </c>
      <c r="J99" s="15">
        <f t="shared" si="15"/>
        <v>2576000</v>
      </c>
    </row>
    <row r="100" spans="1:10" ht="20" customHeight="1" x14ac:dyDescent="0.35">
      <c r="A100" s="10">
        <v>97</v>
      </c>
      <c r="B100" s="10" t="s">
        <v>10</v>
      </c>
      <c r="C100" s="11"/>
      <c r="D100" s="11" t="s">
        <v>120</v>
      </c>
      <c r="E100" s="12">
        <v>276000</v>
      </c>
      <c r="F100" s="13">
        <f t="shared" si="9"/>
        <v>120</v>
      </c>
      <c r="G100" s="14">
        <f t="shared" si="10"/>
        <v>165600</v>
      </c>
      <c r="H100" s="14">
        <f t="shared" si="11"/>
        <v>220800</v>
      </c>
      <c r="I100" s="15">
        <f t="shared" si="14"/>
        <v>331200</v>
      </c>
      <c r="J100" s="15">
        <f t="shared" si="15"/>
        <v>386400</v>
      </c>
    </row>
    <row r="101" spans="1:10" ht="20" customHeight="1" x14ac:dyDescent="0.35">
      <c r="A101" s="10">
        <v>98</v>
      </c>
      <c r="B101" s="10" t="s">
        <v>10</v>
      </c>
      <c r="C101" s="11"/>
      <c r="D101" s="11" t="s">
        <v>63</v>
      </c>
      <c r="E101" s="12">
        <v>1035000</v>
      </c>
      <c r="F101" s="13">
        <f t="shared" si="9"/>
        <v>450</v>
      </c>
      <c r="G101" s="14">
        <f t="shared" si="10"/>
        <v>621000</v>
      </c>
      <c r="H101" s="14">
        <f t="shared" si="11"/>
        <v>828000</v>
      </c>
      <c r="I101" s="15">
        <f t="shared" si="14"/>
        <v>1242000</v>
      </c>
      <c r="J101" s="15">
        <f t="shared" si="15"/>
        <v>1449000</v>
      </c>
    </row>
    <row r="102" spans="1:10" ht="20" customHeight="1" x14ac:dyDescent="0.35">
      <c r="A102" s="10">
        <v>99</v>
      </c>
      <c r="B102" s="10" t="s">
        <v>10</v>
      </c>
      <c r="C102" s="11"/>
      <c r="D102" s="11" t="s">
        <v>121</v>
      </c>
      <c r="E102" s="12">
        <v>1495000</v>
      </c>
      <c r="F102" s="13">
        <f t="shared" si="9"/>
        <v>650</v>
      </c>
      <c r="G102" s="14">
        <f t="shared" si="10"/>
        <v>897000</v>
      </c>
      <c r="H102" s="14">
        <f t="shared" si="11"/>
        <v>1196000</v>
      </c>
      <c r="I102" s="15">
        <f t="shared" si="14"/>
        <v>1794000</v>
      </c>
      <c r="J102" s="15">
        <f t="shared" si="15"/>
        <v>2093000</v>
      </c>
    </row>
    <row r="103" spans="1:10" ht="20" customHeight="1" x14ac:dyDescent="0.35">
      <c r="A103" s="10">
        <v>100</v>
      </c>
      <c r="B103" s="10" t="s">
        <v>10</v>
      </c>
      <c r="C103" s="11"/>
      <c r="D103" s="11" t="s">
        <v>122</v>
      </c>
      <c r="E103" s="12">
        <v>1610000</v>
      </c>
      <c r="F103" s="13">
        <f t="shared" si="9"/>
        <v>700</v>
      </c>
      <c r="G103" s="14">
        <f t="shared" si="10"/>
        <v>966000</v>
      </c>
      <c r="H103" s="14">
        <f t="shared" si="11"/>
        <v>1288000</v>
      </c>
      <c r="I103" s="15">
        <f t="shared" si="14"/>
        <v>1932000</v>
      </c>
      <c r="J103" s="15">
        <f t="shared" si="15"/>
        <v>2254000</v>
      </c>
    </row>
    <row r="104" spans="1:10" ht="20" customHeight="1" x14ac:dyDescent="0.35">
      <c r="A104" s="3">
        <v>101</v>
      </c>
      <c r="B104" s="3" t="s">
        <v>10</v>
      </c>
      <c r="C104" s="2"/>
      <c r="D104" s="2" t="s">
        <v>64</v>
      </c>
      <c r="E104" s="12">
        <v>46000</v>
      </c>
      <c r="F104" s="19">
        <f t="shared" si="9"/>
        <v>20</v>
      </c>
      <c r="G104" s="20">
        <f t="shared" si="10"/>
        <v>27600</v>
      </c>
      <c r="H104" s="20">
        <f t="shared" si="11"/>
        <v>36800</v>
      </c>
      <c r="I104" s="20">
        <f>ROUND($E104*1.5,0)</f>
        <v>69000</v>
      </c>
      <c r="J104" s="18">
        <f>ROUND($E104*2,0)</f>
        <v>92000</v>
      </c>
    </row>
    <row r="105" spans="1:10" ht="20" customHeight="1" x14ac:dyDescent="0.35">
      <c r="A105" s="6">
        <v>102</v>
      </c>
      <c r="B105" s="6" t="s">
        <v>10</v>
      </c>
      <c r="C105" s="5"/>
      <c r="D105" s="5" t="s">
        <v>65</v>
      </c>
      <c r="E105" s="12">
        <v>34500</v>
      </c>
      <c r="F105" s="16">
        <f t="shared" si="9"/>
        <v>15</v>
      </c>
      <c r="G105" s="17">
        <f t="shared" si="10"/>
        <v>20700</v>
      </c>
      <c r="H105" s="17">
        <f t="shared" si="11"/>
        <v>27600</v>
      </c>
      <c r="I105" s="17">
        <f>ROUND($E105*1.5,0)</f>
        <v>51750</v>
      </c>
      <c r="J105" s="18">
        <f>ROUND($E105*2,0)</f>
        <v>69000</v>
      </c>
    </row>
    <row r="106" spans="1:10" ht="20" customHeight="1" x14ac:dyDescent="0.35">
      <c r="A106" s="3">
        <v>103</v>
      </c>
      <c r="B106" s="3" t="s">
        <v>10</v>
      </c>
      <c r="C106" s="2"/>
      <c r="D106" s="2" t="s">
        <v>123</v>
      </c>
      <c r="E106" s="12">
        <v>92000</v>
      </c>
      <c r="F106" s="19">
        <f t="shared" si="9"/>
        <v>40</v>
      </c>
      <c r="G106" s="20">
        <f t="shared" si="10"/>
        <v>55200</v>
      </c>
      <c r="H106" s="20">
        <f t="shared" si="11"/>
        <v>73600</v>
      </c>
      <c r="I106" s="20">
        <f>ROUND($E106*1.5,0)</f>
        <v>138000</v>
      </c>
      <c r="J106" s="18">
        <f>ROUND($E106*2,0)</f>
        <v>184000</v>
      </c>
    </row>
    <row r="107" spans="1:10" ht="20" customHeight="1" x14ac:dyDescent="0.35">
      <c r="A107" s="10">
        <v>104</v>
      </c>
      <c r="B107" s="10" t="s">
        <v>10</v>
      </c>
      <c r="C107" s="11"/>
      <c r="D107" s="11" t="s">
        <v>124</v>
      </c>
      <c r="E107" s="12">
        <v>1610000</v>
      </c>
      <c r="F107" s="13">
        <f t="shared" si="9"/>
        <v>700</v>
      </c>
      <c r="G107" s="14">
        <f t="shared" si="10"/>
        <v>966000</v>
      </c>
      <c r="H107" s="14">
        <f t="shared" si="11"/>
        <v>1288000</v>
      </c>
      <c r="I107" s="15">
        <f>ROUND($E107*1.2,0)</f>
        <v>1932000</v>
      </c>
      <c r="J107" s="15">
        <f>ROUND($E107*1.4,0)</f>
        <v>2254000</v>
      </c>
    </row>
    <row r="108" spans="1:10" ht="20" customHeight="1" x14ac:dyDescent="0.35">
      <c r="A108" s="10">
        <v>105</v>
      </c>
      <c r="B108" s="10" t="s">
        <v>10</v>
      </c>
      <c r="C108" s="11"/>
      <c r="D108" s="11" t="s">
        <v>125</v>
      </c>
      <c r="E108" s="12">
        <v>1840000</v>
      </c>
      <c r="F108" s="13">
        <f t="shared" si="9"/>
        <v>800</v>
      </c>
      <c r="G108" s="14">
        <f t="shared" si="10"/>
        <v>1104000</v>
      </c>
      <c r="H108" s="14">
        <f t="shared" si="11"/>
        <v>1472000</v>
      </c>
      <c r="I108" s="15">
        <f>ROUND($E108*1.2,0)</f>
        <v>2208000</v>
      </c>
      <c r="J108" s="15">
        <f>ROUND($E108*1.4,0)</f>
        <v>2576000</v>
      </c>
    </row>
    <row r="109" spans="1:10" ht="20" customHeight="1" x14ac:dyDescent="0.35">
      <c r="A109" s="6">
        <v>106</v>
      </c>
      <c r="B109" s="6" t="s">
        <v>10</v>
      </c>
      <c r="C109" s="5"/>
      <c r="D109" s="5" t="s">
        <v>126</v>
      </c>
      <c r="E109" s="12">
        <v>92000</v>
      </c>
      <c r="F109" s="16">
        <f t="shared" si="9"/>
        <v>40</v>
      </c>
      <c r="G109" s="17">
        <f t="shared" si="10"/>
        <v>55200</v>
      </c>
      <c r="H109" s="17">
        <f t="shared" si="11"/>
        <v>73600</v>
      </c>
      <c r="I109" s="17">
        <f>ROUND($E109*1.5,0)</f>
        <v>138000</v>
      </c>
      <c r="J109" s="18">
        <f>ROUND($E109*2,0)</f>
        <v>184000</v>
      </c>
    </row>
    <row r="110" spans="1:10" ht="20" customHeight="1" x14ac:dyDescent="0.35">
      <c r="A110" s="3">
        <v>107</v>
      </c>
      <c r="B110" s="3" t="s">
        <v>10</v>
      </c>
      <c r="C110" s="2"/>
      <c r="D110" s="2" t="s">
        <v>127</v>
      </c>
      <c r="E110" s="12">
        <v>161000</v>
      </c>
      <c r="F110" s="19">
        <f t="shared" si="9"/>
        <v>70</v>
      </c>
      <c r="G110" s="20">
        <f t="shared" si="10"/>
        <v>96600</v>
      </c>
      <c r="H110" s="20">
        <f t="shared" si="11"/>
        <v>128800</v>
      </c>
      <c r="I110" s="20">
        <f>ROUND($E110*1.5,0)</f>
        <v>241500</v>
      </c>
      <c r="J110" s="18">
        <f>ROUND($E110*2,0)</f>
        <v>322000</v>
      </c>
    </row>
    <row r="111" spans="1:10" ht="20" customHeight="1" x14ac:dyDescent="0.35">
      <c r="A111" s="10">
        <v>108</v>
      </c>
      <c r="B111" s="10" t="s">
        <v>10</v>
      </c>
      <c r="C111" s="11"/>
      <c r="D111" s="11" t="s">
        <v>70</v>
      </c>
      <c r="E111" s="12">
        <v>115000</v>
      </c>
      <c r="F111" s="13">
        <f t="shared" si="9"/>
        <v>50</v>
      </c>
      <c r="G111" s="14">
        <f t="shared" si="10"/>
        <v>69000</v>
      </c>
      <c r="H111" s="14">
        <f t="shared" si="11"/>
        <v>92000</v>
      </c>
      <c r="I111" s="15">
        <f>ROUND($E111*1.2,0)</f>
        <v>138000</v>
      </c>
      <c r="J111" s="15">
        <f>ROUND($E111*1.4,0)</f>
        <v>161000</v>
      </c>
    </row>
    <row r="112" spans="1:10" ht="20" customHeight="1" x14ac:dyDescent="0.35">
      <c r="A112" s="3">
        <v>109</v>
      </c>
      <c r="B112" s="3" t="s">
        <v>10</v>
      </c>
      <c r="C112" s="2"/>
      <c r="D112" s="2" t="s">
        <v>128</v>
      </c>
      <c r="E112" s="12">
        <v>80500</v>
      </c>
      <c r="F112" s="19">
        <f t="shared" si="9"/>
        <v>35</v>
      </c>
      <c r="G112" s="20">
        <f t="shared" si="10"/>
        <v>48300</v>
      </c>
      <c r="H112" s="20">
        <f t="shared" si="11"/>
        <v>64400</v>
      </c>
      <c r="I112" s="20">
        <f t="shared" ref="I112:I124" si="16">ROUND($E112*1.5,0)</f>
        <v>120750</v>
      </c>
      <c r="J112" s="18">
        <f t="shared" ref="J112:J124" si="17">ROUND($E112*2,0)</f>
        <v>161000</v>
      </c>
    </row>
    <row r="113" spans="1:10" ht="20" customHeight="1" x14ac:dyDescent="0.35">
      <c r="A113" s="6">
        <v>110</v>
      </c>
      <c r="B113" s="6" t="s">
        <v>10</v>
      </c>
      <c r="C113" s="5"/>
      <c r="D113" s="5" t="s">
        <v>129</v>
      </c>
      <c r="E113" s="12">
        <v>103500</v>
      </c>
      <c r="F113" s="16">
        <f t="shared" si="9"/>
        <v>45</v>
      </c>
      <c r="G113" s="17">
        <f t="shared" si="10"/>
        <v>62100</v>
      </c>
      <c r="H113" s="17">
        <f t="shared" si="11"/>
        <v>82800</v>
      </c>
      <c r="I113" s="17">
        <f t="shared" si="16"/>
        <v>155250</v>
      </c>
      <c r="J113" s="18">
        <f t="shared" si="17"/>
        <v>207000</v>
      </c>
    </row>
    <row r="114" spans="1:10" ht="20" customHeight="1" x14ac:dyDescent="0.35">
      <c r="A114" s="3">
        <v>111</v>
      </c>
      <c r="B114" s="3" t="s">
        <v>10</v>
      </c>
      <c r="C114" s="2"/>
      <c r="D114" s="2" t="s">
        <v>130</v>
      </c>
      <c r="E114" s="12">
        <v>184000</v>
      </c>
      <c r="F114" s="19">
        <f t="shared" si="9"/>
        <v>80</v>
      </c>
      <c r="G114" s="20">
        <f t="shared" si="10"/>
        <v>110400</v>
      </c>
      <c r="H114" s="20">
        <f t="shared" si="11"/>
        <v>147200</v>
      </c>
      <c r="I114" s="20">
        <f t="shared" si="16"/>
        <v>276000</v>
      </c>
      <c r="J114" s="18">
        <f t="shared" si="17"/>
        <v>368000</v>
      </c>
    </row>
    <row r="115" spans="1:10" ht="20" customHeight="1" x14ac:dyDescent="0.35">
      <c r="A115" s="6">
        <v>112</v>
      </c>
      <c r="B115" s="6" t="s">
        <v>10</v>
      </c>
      <c r="C115" s="5"/>
      <c r="D115" s="5" t="s">
        <v>131</v>
      </c>
      <c r="E115" s="12">
        <v>207000</v>
      </c>
      <c r="F115" s="16">
        <f t="shared" si="9"/>
        <v>90</v>
      </c>
      <c r="G115" s="17">
        <f t="shared" si="10"/>
        <v>124200</v>
      </c>
      <c r="H115" s="17">
        <f t="shared" si="11"/>
        <v>165600</v>
      </c>
      <c r="I115" s="17">
        <f t="shared" si="16"/>
        <v>310500</v>
      </c>
      <c r="J115" s="18">
        <f t="shared" si="17"/>
        <v>414000</v>
      </c>
    </row>
    <row r="116" spans="1:10" ht="20" customHeight="1" x14ac:dyDescent="0.35">
      <c r="A116" s="3">
        <v>113</v>
      </c>
      <c r="B116" s="3" t="s">
        <v>10</v>
      </c>
      <c r="C116" s="2"/>
      <c r="D116" s="2" t="s">
        <v>72</v>
      </c>
      <c r="E116" s="12">
        <v>9200</v>
      </c>
      <c r="F116" s="19">
        <f t="shared" si="9"/>
        <v>4</v>
      </c>
      <c r="G116" s="20">
        <f t="shared" si="10"/>
        <v>5520</v>
      </c>
      <c r="H116" s="20">
        <f t="shared" si="11"/>
        <v>7360</v>
      </c>
      <c r="I116" s="20">
        <f t="shared" si="16"/>
        <v>13800</v>
      </c>
      <c r="J116" s="18">
        <f t="shared" si="17"/>
        <v>18400</v>
      </c>
    </row>
    <row r="117" spans="1:10" ht="20" customHeight="1" x14ac:dyDescent="0.35">
      <c r="A117" s="6">
        <v>114</v>
      </c>
      <c r="B117" s="6" t="s">
        <v>10</v>
      </c>
      <c r="C117" s="5"/>
      <c r="D117" s="5" t="s">
        <v>73</v>
      </c>
      <c r="E117" s="12">
        <v>23000</v>
      </c>
      <c r="F117" s="16">
        <f t="shared" si="9"/>
        <v>10</v>
      </c>
      <c r="G117" s="17">
        <f t="shared" si="10"/>
        <v>13800</v>
      </c>
      <c r="H117" s="17">
        <f t="shared" si="11"/>
        <v>18400</v>
      </c>
      <c r="I117" s="17">
        <f t="shared" si="16"/>
        <v>34500</v>
      </c>
      <c r="J117" s="18">
        <f t="shared" si="17"/>
        <v>46000</v>
      </c>
    </row>
    <row r="118" spans="1:10" ht="20" customHeight="1" x14ac:dyDescent="0.35">
      <c r="A118" s="3">
        <v>115</v>
      </c>
      <c r="B118" s="3" t="s">
        <v>10</v>
      </c>
      <c r="C118" s="2"/>
      <c r="D118" s="2" t="s">
        <v>132</v>
      </c>
      <c r="E118" s="12">
        <v>50600</v>
      </c>
      <c r="F118" s="19">
        <f t="shared" si="9"/>
        <v>22</v>
      </c>
      <c r="G118" s="20">
        <f t="shared" si="10"/>
        <v>30360</v>
      </c>
      <c r="H118" s="20">
        <f t="shared" si="11"/>
        <v>40480</v>
      </c>
      <c r="I118" s="20">
        <f t="shared" si="16"/>
        <v>75900</v>
      </c>
      <c r="J118" s="18">
        <f t="shared" si="17"/>
        <v>101200</v>
      </c>
    </row>
    <row r="119" spans="1:10" ht="20" customHeight="1" x14ac:dyDescent="0.35">
      <c r="A119" s="6">
        <v>116</v>
      </c>
      <c r="B119" s="6" t="s">
        <v>10</v>
      </c>
      <c r="C119" s="5"/>
      <c r="D119" s="5" t="s">
        <v>133</v>
      </c>
      <c r="E119" s="12">
        <v>11500</v>
      </c>
      <c r="F119" s="16">
        <f t="shared" si="9"/>
        <v>5</v>
      </c>
      <c r="G119" s="17">
        <f t="shared" si="10"/>
        <v>6900</v>
      </c>
      <c r="H119" s="17">
        <f t="shared" si="11"/>
        <v>9200</v>
      </c>
      <c r="I119" s="17">
        <f t="shared" si="16"/>
        <v>17250</v>
      </c>
      <c r="J119" s="18">
        <f t="shared" si="17"/>
        <v>23000</v>
      </c>
    </row>
    <row r="120" spans="1:10" ht="20" customHeight="1" x14ac:dyDescent="0.35">
      <c r="A120" s="3">
        <v>117</v>
      </c>
      <c r="B120" s="3" t="s">
        <v>10</v>
      </c>
      <c r="C120" s="2"/>
      <c r="D120" s="2" t="s">
        <v>134</v>
      </c>
      <c r="E120" s="12">
        <v>92000</v>
      </c>
      <c r="F120" s="19">
        <f t="shared" si="9"/>
        <v>40</v>
      </c>
      <c r="G120" s="20">
        <f t="shared" si="10"/>
        <v>55200</v>
      </c>
      <c r="H120" s="20">
        <f t="shared" si="11"/>
        <v>73600</v>
      </c>
      <c r="I120" s="20">
        <f t="shared" si="16"/>
        <v>138000</v>
      </c>
      <c r="J120" s="18">
        <f t="shared" si="17"/>
        <v>184000</v>
      </c>
    </row>
    <row r="121" spans="1:10" ht="20" customHeight="1" x14ac:dyDescent="0.35">
      <c r="A121" s="6">
        <v>118</v>
      </c>
      <c r="B121" s="6" t="s">
        <v>10</v>
      </c>
      <c r="C121" s="5"/>
      <c r="D121" s="5" t="s">
        <v>76</v>
      </c>
      <c r="E121" s="12">
        <v>9200</v>
      </c>
      <c r="F121" s="16">
        <f t="shared" si="9"/>
        <v>4</v>
      </c>
      <c r="G121" s="17">
        <f t="shared" si="10"/>
        <v>5520</v>
      </c>
      <c r="H121" s="17">
        <f t="shared" si="11"/>
        <v>7360</v>
      </c>
      <c r="I121" s="17">
        <f t="shared" si="16"/>
        <v>13800</v>
      </c>
      <c r="J121" s="18">
        <f t="shared" si="17"/>
        <v>18400</v>
      </c>
    </row>
    <row r="122" spans="1:10" ht="20" customHeight="1" x14ac:dyDescent="0.35">
      <c r="A122" s="3">
        <v>119</v>
      </c>
      <c r="B122" s="3" t="s">
        <v>10</v>
      </c>
      <c r="C122" s="2"/>
      <c r="D122" s="2" t="s">
        <v>77</v>
      </c>
      <c r="E122" s="12">
        <v>11500</v>
      </c>
      <c r="F122" s="19">
        <f t="shared" si="9"/>
        <v>5</v>
      </c>
      <c r="G122" s="20">
        <f t="shared" si="10"/>
        <v>6900</v>
      </c>
      <c r="H122" s="20">
        <f t="shared" si="11"/>
        <v>9200</v>
      </c>
      <c r="I122" s="20">
        <f t="shared" si="16"/>
        <v>17250</v>
      </c>
      <c r="J122" s="18">
        <f t="shared" si="17"/>
        <v>23000</v>
      </c>
    </row>
    <row r="123" spans="1:10" ht="20" customHeight="1" x14ac:dyDescent="0.35">
      <c r="A123" s="6">
        <v>120</v>
      </c>
      <c r="B123" s="6" t="s">
        <v>10</v>
      </c>
      <c r="C123" s="5"/>
      <c r="D123" s="5" t="s">
        <v>78</v>
      </c>
      <c r="E123" s="12">
        <v>23000</v>
      </c>
      <c r="F123" s="16">
        <f t="shared" si="9"/>
        <v>10</v>
      </c>
      <c r="G123" s="17">
        <f t="shared" si="10"/>
        <v>13800</v>
      </c>
      <c r="H123" s="17">
        <f t="shared" si="11"/>
        <v>18400</v>
      </c>
      <c r="I123" s="17">
        <f t="shared" si="16"/>
        <v>34500</v>
      </c>
      <c r="J123" s="18">
        <f t="shared" si="17"/>
        <v>46000</v>
      </c>
    </row>
    <row r="124" spans="1:10" ht="20" customHeight="1" x14ac:dyDescent="0.35">
      <c r="A124" s="3">
        <v>121</v>
      </c>
      <c r="B124" s="3" t="s">
        <v>10</v>
      </c>
      <c r="C124" s="2"/>
      <c r="D124" s="2" t="s">
        <v>135</v>
      </c>
      <c r="E124" s="12">
        <v>184000</v>
      </c>
      <c r="F124" s="19">
        <f t="shared" si="9"/>
        <v>80</v>
      </c>
      <c r="G124" s="20">
        <f t="shared" si="10"/>
        <v>110400</v>
      </c>
      <c r="H124" s="20">
        <f t="shared" si="11"/>
        <v>147200</v>
      </c>
      <c r="I124" s="20">
        <f t="shared" si="16"/>
        <v>276000</v>
      </c>
      <c r="J124" s="18">
        <f t="shared" si="17"/>
        <v>368000</v>
      </c>
    </row>
    <row r="125" spans="1:10" ht="20" customHeight="1" x14ac:dyDescent="0.35">
      <c r="A125" s="10">
        <v>122</v>
      </c>
      <c r="B125" s="10" t="s">
        <v>10</v>
      </c>
      <c r="C125" s="11"/>
      <c r="D125" s="11" t="s">
        <v>136</v>
      </c>
      <c r="E125" s="12">
        <v>460000</v>
      </c>
      <c r="F125" s="13">
        <f t="shared" si="9"/>
        <v>200</v>
      </c>
      <c r="G125" s="14">
        <f t="shared" si="10"/>
        <v>276000</v>
      </c>
      <c r="H125" s="14">
        <f t="shared" si="11"/>
        <v>368000</v>
      </c>
      <c r="I125" s="15">
        <f>ROUND($E125*1.2,0)</f>
        <v>552000</v>
      </c>
      <c r="J125" s="15">
        <f>ROUND($E125*1.4,0)</f>
        <v>644000</v>
      </c>
    </row>
    <row r="126" spans="1:10" ht="20" customHeight="1" x14ac:dyDescent="0.35">
      <c r="A126" s="3">
        <v>123</v>
      </c>
      <c r="B126" s="3" t="s">
        <v>12</v>
      </c>
      <c r="C126" s="2"/>
      <c r="D126" s="2" t="s">
        <v>47</v>
      </c>
      <c r="E126" s="12">
        <v>23000</v>
      </c>
      <c r="F126" s="19">
        <f t="shared" si="9"/>
        <v>10</v>
      </c>
      <c r="G126" s="20">
        <f t="shared" si="10"/>
        <v>13800</v>
      </c>
      <c r="H126" s="20">
        <f t="shared" si="11"/>
        <v>18400</v>
      </c>
      <c r="I126" s="20">
        <f>ROUND($E126*1.5,0)</f>
        <v>34500</v>
      </c>
      <c r="J126" s="18">
        <f>ROUND($E126*2,0)</f>
        <v>46000</v>
      </c>
    </row>
    <row r="127" spans="1:10" ht="20" customHeight="1" x14ac:dyDescent="0.35">
      <c r="A127" s="10">
        <v>124</v>
      </c>
      <c r="B127" s="10" t="s">
        <v>12</v>
      </c>
      <c r="C127" s="11"/>
      <c r="D127" s="11" t="s">
        <v>137</v>
      </c>
      <c r="E127" s="12">
        <v>34500</v>
      </c>
      <c r="F127" s="13">
        <f t="shared" si="9"/>
        <v>15</v>
      </c>
      <c r="G127" s="14">
        <f t="shared" si="10"/>
        <v>20700</v>
      </c>
      <c r="H127" s="14">
        <f t="shared" si="11"/>
        <v>27600</v>
      </c>
      <c r="I127" s="15">
        <f>ROUND($E127*1.2,0)</f>
        <v>41400</v>
      </c>
      <c r="J127" s="15">
        <f>ROUND($E127*1.4,0)</f>
        <v>48300</v>
      </c>
    </row>
    <row r="128" spans="1:10" ht="20" customHeight="1" x14ac:dyDescent="0.35">
      <c r="A128" s="10">
        <v>125</v>
      </c>
      <c r="B128" s="10" t="s">
        <v>12</v>
      </c>
      <c r="C128" s="11"/>
      <c r="D128" s="11" t="s">
        <v>138</v>
      </c>
      <c r="E128" s="12">
        <v>1035000</v>
      </c>
      <c r="F128" s="13">
        <f t="shared" si="9"/>
        <v>450</v>
      </c>
      <c r="G128" s="14">
        <f t="shared" si="10"/>
        <v>621000</v>
      </c>
      <c r="H128" s="14">
        <f t="shared" si="11"/>
        <v>828000</v>
      </c>
      <c r="I128" s="15">
        <f>ROUND($E128*1.2,0)</f>
        <v>1242000</v>
      </c>
      <c r="J128" s="15">
        <f>ROUND($E128*1.4,0)</f>
        <v>1449000</v>
      </c>
    </row>
    <row r="129" spans="1:10" ht="20" customHeight="1" x14ac:dyDescent="0.35">
      <c r="A129" s="6">
        <v>126</v>
      </c>
      <c r="B129" s="6" t="s">
        <v>12</v>
      </c>
      <c r="C129" s="5"/>
      <c r="D129" s="5" t="s">
        <v>50</v>
      </c>
      <c r="E129" s="12">
        <v>23000</v>
      </c>
      <c r="F129" s="16">
        <f t="shared" si="9"/>
        <v>10</v>
      </c>
      <c r="G129" s="17">
        <f t="shared" si="10"/>
        <v>13800</v>
      </c>
      <c r="H129" s="17">
        <f t="shared" si="11"/>
        <v>18400</v>
      </c>
      <c r="I129" s="17">
        <f>ROUND($E129*1.5,0)</f>
        <v>34500</v>
      </c>
      <c r="J129" s="18">
        <f>ROUND($E129*2,0)</f>
        <v>46000</v>
      </c>
    </row>
    <row r="130" spans="1:10" ht="20" customHeight="1" x14ac:dyDescent="0.35">
      <c r="A130" s="3">
        <v>127</v>
      </c>
      <c r="B130" s="3" t="s">
        <v>12</v>
      </c>
      <c r="C130" s="2"/>
      <c r="D130" s="2" t="s">
        <v>51</v>
      </c>
      <c r="E130" s="12">
        <v>34500</v>
      </c>
      <c r="F130" s="19">
        <f t="shared" si="9"/>
        <v>15</v>
      </c>
      <c r="G130" s="20">
        <f t="shared" si="10"/>
        <v>20700</v>
      </c>
      <c r="H130" s="20">
        <f t="shared" si="11"/>
        <v>27600</v>
      </c>
      <c r="I130" s="20">
        <f>ROUND($E130*1.5,0)</f>
        <v>51750</v>
      </c>
      <c r="J130" s="18">
        <f>ROUND($E130*2,0)</f>
        <v>69000</v>
      </c>
    </row>
    <row r="131" spans="1:10" ht="20" customHeight="1" x14ac:dyDescent="0.35">
      <c r="A131" s="10">
        <v>128</v>
      </c>
      <c r="B131" s="10" t="s">
        <v>12</v>
      </c>
      <c r="C131" s="11"/>
      <c r="D131" s="11" t="s">
        <v>54</v>
      </c>
      <c r="E131" s="12">
        <v>80500</v>
      </c>
      <c r="F131" s="13">
        <f t="shared" si="9"/>
        <v>35</v>
      </c>
      <c r="G131" s="14">
        <f t="shared" si="10"/>
        <v>48300</v>
      </c>
      <c r="H131" s="14">
        <f t="shared" si="11"/>
        <v>64400</v>
      </c>
      <c r="I131" s="15">
        <f>ROUND($E131*1.2,0)</f>
        <v>96600</v>
      </c>
      <c r="J131" s="15">
        <f>ROUND($E131*1.4,0)</f>
        <v>112700</v>
      </c>
    </row>
    <row r="132" spans="1:10" ht="20" customHeight="1" x14ac:dyDescent="0.35">
      <c r="A132" s="10">
        <v>129</v>
      </c>
      <c r="B132" s="10" t="s">
        <v>12</v>
      </c>
      <c r="C132" s="11"/>
      <c r="D132" s="11" t="s">
        <v>139</v>
      </c>
      <c r="E132" s="12">
        <v>46000</v>
      </c>
      <c r="F132" s="13">
        <f t="shared" ref="F132:F195" si="18">ROUND($E132/2300,2)</f>
        <v>20</v>
      </c>
      <c r="G132" s="14">
        <f t="shared" ref="G132:G195" si="19">ROUND($E132*0.6,0)</f>
        <v>27600</v>
      </c>
      <c r="H132" s="14">
        <f t="shared" ref="H132:H195" si="20">ROUND($E132*0.8,0)</f>
        <v>36800</v>
      </c>
      <c r="I132" s="15">
        <f>ROUND($E132*1.2,0)</f>
        <v>55200</v>
      </c>
      <c r="J132" s="15">
        <f>ROUND($E132*1.4,0)</f>
        <v>64400</v>
      </c>
    </row>
    <row r="133" spans="1:10" ht="20" customHeight="1" x14ac:dyDescent="0.35">
      <c r="A133" s="10">
        <v>130</v>
      </c>
      <c r="B133" s="10" t="s">
        <v>12</v>
      </c>
      <c r="C133" s="11"/>
      <c r="D133" s="11" t="s">
        <v>140</v>
      </c>
      <c r="E133" s="12">
        <v>782000</v>
      </c>
      <c r="F133" s="13">
        <f t="shared" si="18"/>
        <v>340</v>
      </c>
      <c r="G133" s="14">
        <f t="shared" si="19"/>
        <v>469200</v>
      </c>
      <c r="H133" s="14">
        <f t="shared" si="20"/>
        <v>625600</v>
      </c>
      <c r="I133" s="15">
        <f>ROUND($E133*1.2,0)</f>
        <v>938400</v>
      </c>
      <c r="J133" s="15">
        <f>ROUND($E133*1.4,0)</f>
        <v>1094800</v>
      </c>
    </row>
    <row r="134" spans="1:10" ht="20" customHeight="1" x14ac:dyDescent="0.35">
      <c r="A134" s="3">
        <v>131</v>
      </c>
      <c r="B134" s="3" t="s">
        <v>12</v>
      </c>
      <c r="C134" s="2"/>
      <c r="D134" s="2" t="s">
        <v>59</v>
      </c>
      <c r="E134" s="12">
        <v>11500</v>
      </c>
      <c r="F134" s="19">
        <f t="shared" si="18"/>
        <v>5</v>
      </c>
      <c r="G134" s="20">
        <f t="shared" si="19"/>
        <v>6900</v>
      </c>
      <c r="H134" s="20">
        <f t="shared" si="20"/>
        <v>9200</v>
      </c>
      <c r="I134" s="20">
        <f>ROUND($E134*1.5,0)</f>
        <v>17250</v>
      </c>
      <c r="J134" s="18">
        <f>ROUND($E134*2,0)</f>
        <v>23000</v>
      </c>
    </row>
    <row r="135" spans="1:10" ht="20" customHeight="1" x14ac:dyDescent="0.35">
      <c r="A135" s="10">
        <v>132</v>
      </c>
      <c r="B135" s="10" t="s">
        <v>12</v>
      </c>
      <c r="C135" s="11"/>
      <c r="D135" s="11" t="s">
        <v>60</v>
      </c>
      <c r="E135" s="12">
        <v>34500</v>
      </c>
      <c r="F135" s="13">
        <f t="shared" si="18"/>
        <v>15</v>
      </c>
      <c r="G135" s="14">
        <f t="shared" si="19"/>
        <v>20700</v>
      </c>
      <c r="H135" s="14">
        <f t="shared" si="20"/>
        <v>27600</v>
      </c>
      <c r="I135" s="15">
        <f t="shared" ref="I135:I142" si="21">ROUND($E135*1.2,0)</f>
        <v>41400</v>
      </c>
      <c r="J135" s="15">
        <f t="shared" ref="J135:J142" si="22">ROUND($E135*1.4,0)</f>
        <v>48300</v>
      </c>
    </row>
    <row r="136" spans="1:10" ht="20" customHeight="1" x14ac:dyDescent="0.35">
      <c r="A136" s="10">
        <v>133</v>
      </c>
      <c r="B136" s="10" t="s">
        <v>12</v>
      </c>
      <c r="C136" s="11"/>
      <c r="D136" s="11" t="s">
        <v>62</v>
      </c>
      <c r="E136" s="12">
        <v>46000</v>
      </c>
      <c r="F136" s="13">
        <f t="shared" si="18"/>
        <v>20</v>
      </c>
      <c r="G136" s="14">
        <f t="shared" si="19"/>
        <v>27600</v>
      </c>
      <c r="H136" s="14">
        <f t="shared" si="20"/>
        <v>36800</v>
      </c>
      <c r="I136" s="15">
        <f t="shared" si="21"/>
        <v>55200</v>
      </c>
      <c r="J136" s="15">
        <f t="shared" si="22"/>
        <v>64400</v>
      </c>
    </row>
    <row r="137" spans="1:10" ht="20" customHeight="1" x14ac:dyDescent="0.35">
      <c r="A137" s="10">
        <v>134</v>
      </c>
      <c r="B137" s="10" t="s">
        <v>12</v>
      </c>
      <c r="C137" s="11"/>
      <c r="D137" s="11" t="s">
        <v>141</v>
      </c>
      <c r="E137" s="12">
        <v>115000</v>
      </c>
      <c r="F137" s="13">
        <f t="shared" si="18"/>
        <v>50</v>
      </c>
      <c r="G137" s="14">
        <f t="shared" si="19"/>
        <v>69000</v>
      </c>
      <c r="H137" s="14">
        <f t="shared" si="20"/>
        <v>92000</v>
      </c>
      <c r="I137" s="15">
        <f t="shared" si="21"/>
        <v>138000</v>
      </c>
      <c r="J137" s="15">
        <f t="shared" si="22"/>
        <v>161000</v>
      </c>
    </row>
    <row r="138" spans="1:10" ht="20" customHeight="1" x14ac:dyDescent="0.35">
      <c r="A138" s="10">
        <v>135</v>
      </c>
      <c r="B138" s="10" t="s">
        <v>12</v>
      </c>
      <c r="C138" s="11"/>
      <c r="D138" s="11" t="s">
        <v>67</v>
      </c>
      <c r="E138" s="12">
        <v>46000</v>
      </c>
      <c r="F138" s="13">
        <f t="shared" si="18"/>
        <v>20</v>
      </c>
      <c r="G138" s="14">
        <f t="shared" si="19"/>
        <v>27600</v>
      </c>
      <c r="H138" s="14">
        <f t="shared" si="20"/>
        <v>36800</v>
      </c>
      <c r="I138" s="15">
        <f t="shared" si="21"/>
        <v>55200</v>
      </c>
      <c r="J138" s="15">
        <f t="shared" si="22"/>
        <v>64400</v>
      </c>
    </row>
    <row r="139" spans="1:10" ht="20" customHeight="1" x14ac:dyDescent="0.35">
      <c r="A139" s="10">
        <v>136</v>
      </c>
      <c r="B139" s="10" t="s">
        <v>12</v>
      </c>
      <c r="C139" s="11"/>
      <c r="D139" s="11" t="s">
        <v>68</v>
      </c>
      <c r="E139" s="12">
        <v>34500</v>
      </c>
      <c r="F139" s="13">
        <f t="shared" si="18"/>
        <v>15</v>
      </c>
      <c r="G139" s="14">
        <f t="shared" si="19"/>
        <v>20700</v>
      </c>
      <c r="H139" s="14">
        <f t="shared" si="20"/>
        <v>27600</v>
      </c>
      <c r="I139" s="15">
        <f t="shared" si="21"/>
        <v>41400</v>
      </c>
      <c r="J139" s="15">
        <f t="shared" si="22"/>
        <v>48300</v>
      </c>
    </row>
    <row r="140" spans="1:10" ht="20" customHeight="1" x14ac:dyDescent="0.35">
      <c r="A140" s="10">
        <v>137</v>
      </c>
      <c r="B140" s="10" t="s">
        <v>12</v>
      </c>
      <c r="C140" s="11"/>
      <c r="D140" s="11" t="s">
        <v>142</v>
      </c>
      <c r="E140" s="12">
        <v>46000</v>
      </c>
      <c r="F140" s="13">
        <f t="shared" si="18"/>
        <v>20</v>
      </c>
      <c r="G140" s="14">
        <f t="shared" si="19"/>
        <v>27600</v>
      </c>
      <c r="H140" s="14">
        <f t="shared" si="20"/>
        <v>36800</v>
      </c>
      <c r="I140" s="15">
        <f t="shared" si="21"/>
        <v>55200</v>
      </c>
      <c r="J140" s="15">
        <f t="shared" si="22"/>
        <v>64400</v>
      </c>
    </row>
    <row r="141" spans="1:10" ht="20" customHeight="1" x14ac:dyDescent="0.35">
      <c r="A141" s="10">
        <v>138</v>
      </c>
      <c r="B141" s="10" t="s">
        <v>12</v>
      </c>
      <c r="C141" s="11"/>
      <c r="D141" s="11" t="s">
        <v>69</v>
      </c>
      <c r="E141" s="12">
        <v>46000</v>
      </c>
      <c r="F141" s="13">
        <f t="shared" si="18"/>
        <v>20</v>
      </c>
      <c r="G141" s="14">
        <f t="shared" si="19"/>
        <v>27600</v>
      </c>
      <c r="H141" s="14">
        <f t="shared" si="20"/>
        <v>36800</v>
      </c>
      <c r="I141" s="15">
        <f t="shared" si="21"/>
        <v>55200</v>
      </c>
      <c r="J141" s="15">
        <f t="shared" si="22"/>
        <v>64400</v>
      </c>
    </row>
    <row r="142" spans="1:10" ht="20" customHeight="1" x14ac:dyDescent="0.35">
      <c r="A142" s="10">
        <v>139</v>
      </c>
      <c r="B142" s="10" t="s">
        <v>12</v>
      </c>
      <c r="C142" s="11"/>
      <c r="D142" s="11" t="s">
        <v>70</v>
      </c>
      <c r="E142" s="12">
        <v>115000</v>
      </c>
      <c r="F142" s="13">
        <f t="shared" si="18"/>
        <v>50</v>
      </c>
      <c r="G142" s="14">
        <f t="shared" si="19"/>
        <v>69000</v>
      </c>
      <c r="H142" s="14">
        <f t="shared" si="20"/>
        <v>92000</v>
      </c>
      <c r="I142" s="15">
        <f t="shared" si="21"/>
        <v>138000</v>
      </c>
      <c r="J142" s="15">
        <f t="shared" si="22"/>
        <v>161000</v>
      </c>
    </row>
    <row r="143" spans="1:10" ht="20" customHeight="1" x14ac:dyDescent="0.35">
      <c r="A143" s="6">
        <v>140</v>
      </c>
      <c r="B143" s="6" t="s">
        <v>12</v>
      </c>
      <c r="C143" s="5"/>
      <c r="D143" s="5" t="s">
        <v>72</v>
      </c>
      <c r="E143" s="12">
        <v>9200</v>
      </c>
      <c r="F143" s="16">
        <f t="shared" si="18"/>
        <v>4</v>
      </c>
      <c r="G143" s="17">
        <f t="shared" si="19"/>
        <v>5520</v>
      </c>
      <c r="H143" s="17">
        <f t="shared" si="20"/>
        <v>7360</v>
      </c>
      <c r="I143" s="17">
        <f>ROUND($E143*1.5,0)</f>
        <v>13800</v>
      </c>
      <c r="J143" s="18">
        <f>ROUND($E143*2,0)</f>
        <v>18400</v>
      </c>
    </row>
    <row r="144" spans="1:10" ht="20" customHeight="1" x14ac:dyDescent="0.35">
      <c r="A144" s="10">
        <v>141</v>
      </c>
      <c r="B144" s="10" t="s">
        <v>12</v>
      </c>
      <c r="C144" s="11"/>
      <c r="D144" s="11" t="s">
        <v>143</v>
      </c>
      <c r="E144" s="12">
        <v>34500</v>
      </c>
      <c r="F144" s="13">
        <f t="shared" si="18"/>
        <v>15</v>
      </c>
      <c r="G144" s="14">
        <f t="shared" si="19"/>
        <v>20700</v>
      </c>
      <c r="H144" s="14">
        <f t="shared" si="20"/>
        <v>27600</v>
      </c>
      <c r="I144" s="15">
        <f>ROUND($E144*1.2,0)</f>
        <v>41400</v>
      </c>
      <c r="J144" s="15">
        <f>ROUND($E144*1.4,0)</f>
        <v>48300</v>
      </c>
    </row>
    <row r="145" spans="1:10" ht="20" customHeight="1" x14ac:dyDescent="0.35">
      <c r="A145" s="6">
        <v>142</v>
      </c>
      <c r="B145" s="6" t="s">
        <v>12</v>
      </c>
      <c r="C145" s="5"/>
      <c r="D145" s="5" t="s">
        <v>73</v>
      </c>
      <c r="E145" s="12">
        <v>23000</v>
      </c>
      <c r="F145" s="16">
        <f t="shared" si="18"/>
        <v>10</v>
      </c>
      <c r="G145" s="17">
        <f t="shared" si="19"/>
        <v>13800</v>
      </c>
      <c r="H145" s="17">
        <f t="shared" si="20"/>
        <v>18400</v>
      </c>
      <c r="I145" s="17">
        <f>ROUND($E145*1.5,0)</f>
        <v>34500</v>
      </c>
      <c r="J145" s="18">
        <f>ROUND($E145*2,0)</f>
        <v>46000</v>
      </c>
    </row>
    <row r="146" spans="1:10" ht="20" customHeight="1" x14ac:dyDescent="0.35">
      <c r="A146" s="10">
        <v>143</v>
      </c>
      <c r="B146" s="10" t="s">
        <v>12</v>
      </c>
      <c r="C146" s="11"/>
      <c r="D146" s="11" t="s">
        <v>144</v>
      </c>
      <c r="E146" s="12">
        <v>115000</v>
      </c>
      <c r="F146" s="13">
        <f t="shared" si="18"/>
        <v>50</v>
      </c>
      <c r="G146" s="14">
        <f t="shared" si="19"/>
        <v>69000</v>
      </c>
      <c r="H146" s="14">
        <f t="shared" si="20"/>
        <v>92000</v>
      </c>
      <c r="I146" s="15">
        <f>ROUND($E146*1.2,0)</f>
        <v>138000</v>
      </c>
      <c r="J146" s="15">
        <f>ROUND($E146*1.4,0)</f>
        <v>161000</v>
      </c>
    </row>
    <row r="147" spans="1:10" ht="20" customHeight="1" x14ac:dyDescent="0.35">
      <c r="A147" s="6">
        <v>144</v>
      </c>
      <c r="B147" s="6" t="s">
        <v>12</v>
      </c>
      <c r="C147" s="5"/>
      <c r="D147" s="5" t="s">
        <v>76</v>
      </c>
      <c r="E147" s="12">
        <v>9200</v>
      </c>
      <c r="F147" s="16">
        <f t="shared" si="18"/>
        <v>4</v>
      </c>
      <c r="G147" s="17">
        <f t="shared" si="19"/>
        <v>5520</v>
      </c>
      <c r="H147" s="17">
        <f t="shared" si="20"/>
        <v>7360</v>
      </c>
      <c r="I147" s="17">
        <f t="shared" ref="I147:I157" si="23">ROUND($E147*1.5,0)</f>
        <v>13800</v>
      </c>
      <c r="J147" s="18">
        <f t="shared" ref="J147:J157" si="24">ROUND($E147*2,0)</f>
        <v>18400</v>
      </c>
    </row>
    <row r="148" spans="1:10" ht="20" customHeight="1" x14ac:dyDescent="0.35">
      <c r="A148" s="3">
        <v>145</v>
      </c>
      <c r="B148" s="3" t="s">
        <v>12</v>
      </c>
      <c r="C148" s="2"/>
      <c r="D148" s="2" t="s">
        <v>77</v>
      </c>
      <c r="E148" s="12">
        <v>11500</v>
      </c>
      <c r="F148" s="19">
        <f t="shared" si="18"/>
        <v>5</v>
      </c>
      <c r="G148" s="20">
        <f t="shared" si="19"/>
        <v>6900</v>
      </c>
      <c r="H148" s="20">
        <f t="shared" si="20"/>
        <v>9200</v>
      </c>
      <c r="I148" s="20">
        <f t="shared" si="23"/>
        <v>17250</v>
      </c>
      <c r="J148" s="18">
        <f t="shared" si="24"/>
        <v>23000</v>
      </c>
    </row>
    <row r="149" spans="1:10" ht="20" customHeight="1" x14ac:dyDescent="0.35">
      <c r="A149" s="6">
        <v>146</v>
      </c>
      <c r="B149" s="6" t="s">
        <v>12</v>
      </c>
      <c r="C149" s="5"/>
      <c r="D149" s="5" t="s">
        <v>78</v>
      </c>
      <c r="E149" s="12">
        <v>23000</v>
      </c>
      <c r="F149" s="16">
        <f t="shared" si="18"/>
        <v>10</v>
      </c>
      <c r="G149" s="17">
        <f t="shared" si="19"/>
        <v>13800</v>
      </c>
      <c r="H149" s="17">
        <f t="shared" si="20"/>
        <v>18400</v>
      </c>
      <c r="I149" s="17">
        <f t="shared" si="23"/>
        <v>34500</v>
      </c>
      <c r="J149" s="18">
        <f t="shared" si="24"/>
        <v>46000</v>
      </c>
    </row>
    <row r="150" spans="1:10" ht="20" customHeight="1" x14ac:dyDescent="0.35">
      <c r="A150" s="3">
        <v>147</v>
      </c>
      <c r="B150" s="3" t="s">
        <v>12</v>
      </c>
      <c r="C150" s="2"/>
      <c r="D150" s="2" t="s">
        <v>79</v>
      </c>
      <c r="E150" s="12">
        <v>23000</v>
      </c>
      <c r="F150" s="19">
        <f t="shared" si="18"/>
        <v>10</v>
      </c>
      <c r="G150" s="20">
        <f t="shared" si="19"/>
        <v>13800</v>
      </c>
      <c r="H150" s="20">
        <f t="shared" si="20"/>
        <v>18400</v>
      </c>
      <c r="I150" s="20">
        <f t="shared" si="23"/>
        <v>34500</v>
      </c>
      <c r="J150" s="18">
        <f t="shared" si="24"/>
        <v>46000</v>
      </c>
    </row>
    <row r="151" spans="1:10" ht="20" customHeight="1" x14ac:dyDescent="0.35">
      <c r="A151" s="6">
        <v>148</v>
      </c>
      <c r="B151" s="6" t="s">
        <v>14</v>
      </c>
      <c r="C151" s="5"/>
      <c r="D151" s="5" t="s">
        <v>145</v>
      </c>
      <c r="E151" s="12">
        <v>9200</v>
      </c>
      <c r="F151" s="16">
        <f t="shared" si="18"/>
        <v>4</v>
      </c>
      <c r="G151" s="17">
        <f t="shared" si="19"/>
        <v>5520</v>
      </c>
      <c r="H151" s="17">
        <f t="shared" si="20"/>
        <v>7360</v>
      </c>
      <c r="I151" s="17">
        <f t="shared" si="23"/>
        <v>13800</v>
      </c>
      <c r="J151" s="18">
        <f t="shared" si="24"/>
        <v>18400</v>
      </c>
    </row>
    <row r="152" spans="1:10" ht="20" customHeight="1" x14ac:dyDescent="0.35">
      <c r="A152" s="3">
        <v>149</v>
      </c>
      <c r="B152" s="3" t="s">
        <v>14</v>
      </c>
      <c r="C152" s="2"/>
      <c r="D152" s="2" t="s">
        <v>146</v>
      </c>
      <c r="E152" s="12">
        <v>23000</v>
      </c>
      <c r="F152" s="19">
        <f t="shared" si="18"/>
        <v>10</v>
      </c>
      <c r="G152" s="20">
        <f t="shared" si="19"/>
        <v>13800</v>
      </c>
      <c r="H152" s="20">
        <f t="shared" si="20"/>
        <v>18400</v>
      </c>
      <c r="I152" s="20">
        <f t="shared" si="23"/>
        <v>34500</v>
      </c>
      <c r="J152" s="18">
        <f t="shared" si="24"/>
        <v>46000</v>
      </c>
    </row>
    <row r="153" spans="1:10" ht="20" customHeight="1" x14ac:dyDescent="0.35">
      <c r="A153" s="6">
        <v>150</v>
      </c>
      <c r="B153" s="6" t="s">
        <v>14</v>
      </c>
      <c r="C153" s="5"/>
      <c r="D153" s="5" t="s">
        <v>50</v>
      </c>
      <c r="E153" s="12">
        <v>23000</v>
      </c>
      <c r="F153" s="16">
        <f t="shared" si="18"/>
        <v>10</v>
      </c>
      <c r="G153" s="17">
        <f t="shared" si="19"/>
        <v>13800</v>
      </c>
      <c r="H153" s="17">
        <f t="shared" si="20"/>
        <v>18400</v>
      </c>
      <c r="I153" s="17">
        <f t="shared" si="23"/>
        <v>34500</v>
      </c>
      <c r="J153" s="18">
        <f t="shared" si="24"/>
        <v>46000</v>
      </c>
    </row>
    <row r="154" spans="1:10" ht="20" customHeight="1" x14ac:dyDescent="0.35">
      <c r="A154" s="3">
        <v>151</v>
      </c>
      <c r="B154" s="3" t="s">
        <v>14</v>
      </c>
      <c r="C154" s="2"/>
      <c r="D154" s="2" t="s">
        <v>51</v>
      </c>
      <c r="E154" s="12">
        <v>34500</v>
      </c>
      <c r="F154" s="19">
        <f t="shared" si="18"/>
        <v>15</v>
      </c>
      <c r="G154" s="20">
        <f t="shared" si="19"/>
        <v>20700</v>
      </c>
      <c r="H154" s="20">
        <f t="shared" si="20"/>
        <v>27600</v>
      </c>
      <c r="I154" s="20">
        <f t="shared" si="23"/>
        <v>51750</v>
      </c>
      <c r="J154" s="18">
        <f t="shared" si="24"/>
        <v>69000</v>
      </c>
    </row>
    <row r="155" spans="1:10" ht="20" customHeight="1" x14ac:dyDescent="0.35">
      <c r="A155" s="6">
        <v>152</v>
      </c>
      <c r="B155" s="6" t="s">
        <v>14</v>
      </c>
      <c r="C155" s="5"/>
      <c r="D155" s="5" t="s">
        <v>147</v>
      </c>
      <c r="E155" s="12">
        <v>16100</v>
      </c>
      <c r="F155" s="16">
        <f t="shared" si="18"/>
        <v>7</v>
      </c>
      <c r="G155" s="17">
        <f t="shared" si="19"/>
        <v>9660</v>
      </c>
      <c r="H155" s="17">
        <f t="shared" si="20"/>
        <v>12880</v>
      </c>
      <c r="I155" s="17">
        <f t="shared" si="23"/>
        <v>24150</v>
      </c>
      <c r="J155" s="18">
        <f t="shared" si="24"/>
        <v>32200</v>
      </c>
    </row>
    <row r="156" spans="1:10" ht="20" customHeight="1" x14ac:dyDescent="0.35">
      <c r="A156" s="3">
        <v>153</v>
      </c>
      <c r="B156" s="3" t="s">
        <v>14</v>
      </c>
      <c r="C156" s="2"/>
      <c r="D156" s="2" t="s">
        <v>148</v>
      </c>
      <c r="E156" s="12">
        <v>4600</v>
      </c>
      <c r="F156" s="19">
        <f t="shared" si="18"/>
        <v>2</v>
      </c>
      <c r="G156" s="20">
        <f t="shared" si="19"/>
        <v>2760</v>
      </c>
      <c r="H156" s="20">
        <f t="shared" si="20"/>
        <v>3680</v>
      </c>
      <c r="I156" s="20">
        <f t="shared" si="23"/>
        <v>6900</v>
      </c>
      <c r="J156" s="18">
        <f t="shared" si="24"/>
        <v>9200</v>
      </c>
    </row>
    <row r="157" spans="1:10" ht="20" customHeight="1" x14ac:dyDescent="0.35">
      <c r="A157" s="6">
        <v>154</v>
      </c>
      <c r="B157" s="6" t="s">
        <v>14</v>
      </c>
      <c r="C157" s="5"/>
      <c r="D157" s="5" t="s">
        <v>149</v>
      </c>
      <c r="E157" s="12">
        <v>11500</v>
      </c>
      <c r="F157" s="16">
        <f t="shared" si="18"/>
        <v>5</v>
      </c>
      <c r="G157" s="17">
        <f t="shared" si="19"/>
        <v>6900</v>
      </c>
      <c r="H157" s="17">
        <f t="shared" si="20"/>
        <v>9200</v>
      </c>
      <c r="I157" s="17">
        <f t="shared" si="23"/>
        <v>17250</v>
      </c>
      <c r="J157" s="18">
        <f t="shared" si="24"/>
        <v>23000</v>
      </c>
    </row>
    <row r="158" spans="1:10" ht="20" customHeight="1" x14ac:dyDescent="0.35">
      <c r="A158" s="10">
        <v>155</v>
      </c>
      <c r="B158" s="10" t="s">
        <v>14</v>
      </c>
      <c r="C158" s="11"/>
      <c r="D158" s="11" t="s">
        <v>150</v>
      </c>
      <c r="E158" s="12">
        <v>34500</v>
      </c>
      <c r="F158" s="13">
        <f t="shared" si="18"/>
        <v>15</v>
      </c>
      <c r="G158" s="14">
        <f t="shared" si="19"/>
        <v>20700</v>
      </c>
      <c r="H158" s="14">
        <f t="shared" si="20"/>
        <v>27600</v>
      </c>
      <c r="I158" s="15">
        <f>ROUND($E158*1.2,0)</f>
        <v>41400</v>
      </c>
      <c r="J158" s="15">
        <f>ROUND($E158*1.4,0)</f>
        <v>48300</v>
      </c>
    </row>
    <row r="159" spans="1:10" ht="20" customHeight="1" x14ac:dyDescent="0.35">
      <c r="A159" s="6">
        <v>156</v>
      </c>
      <c r="B159" s="6" t="s">
        <v>14</v>
      </c>
      <c r="C159" s="5"/>
      <c r="D159" s="5" t="s">
        <v>151</v>
      </c>
      <c r="E159" s="12">
        <v>4600</v>
      </c>
      <c r="F159" s="16">
        <f t="shared" si="18"/>
        <v>2</v>
      </c>
      <c r="G159" s="17">
        <f t="shared" si="19"/>
        <v>2760</v>
      </c>
      <c r="H159" s="17">
        <f t="shared" si="20"/>
        <v>3680</v>
      </c>
      <c r="I159" s="17">
        <f t="shared" ref="I159:I190" si="25">ROUND($E159*1.5,0)</f>
        <v>6900</v>
      </c>
      <c r="J159" s="18">
        <f t="shared" ref="J159:J190" si="26">ROUND($E159*2,0)</f>
        <v>9200</v>
      </c>
    </row>
    <row r="160" spans="1:10" ht="20" customHeight="1" x14ac:dyDescent="0.35">
      <c r="A160" s="3">
        <v>157</v>
      </c>
      <c r="B160" s="3" t="s">
        <v>14</v>
      </c>
      <c r="C160" s="2"/>
      <c r="D160" s="2" t="s">
        <v>152</v>
      </c>
      <c r="E160" s="12">
        <v>11500</v>
      </c>
      <c r="F160" s="19">
        <f t="shared" si="18"/>
        <v>5</v>
      </c>
      <c r="G160" s="20">
        <f t="shared" si="19"/>
        <v>6900</v>
      </c>
      <c r="H160" s="20">
        <f t="shared" si="20"/>
        <v>9200</v>
      </c>
      <c r="I160" s="20">
        <f t="shared" si="25"/>
        <v>17250</v>
      </c>
      <c r="J160" s="18">
        <f t="shared" si="26"/>
        <v>23000</v>
      </c>
    </row>
    <row r="161" spans="1:10" ht="20" customHeight="1" x14ac:dyDescent="0.35">
      <c r="A161" s="6">
        <v>158</v>
      </c>
      <c r="B161" s="6" t="s">
        <v>14</v>
      </c>
      <c r="C161" s="5"/>
      <c r="D161" s="5" t="s">
        <v>153</v>
      </c>
      <c r="E161" s="12">
        <v>11500</v>
      </c>
      <c r="F161" s="16">
        <f t="shared" si="18"/>
        <v>5</v>
      </c>
      <c r="G161" s="17">
        <f t="shared" si="19"/>
        <v>6900</v>
      </c>
      <c r="H161" s="17">
        <f t="shared" si="20"/>
        <v>9200</v>
      </c>
      <c r="I161" s="17">
        <f t="shared" si="25"/>
        <v>17250</v>
      </c>
      <c r="J161" s="18">
        <f t="shared" si="26"/>
        <v>23000</v>
      </c>
    </row>
    <row r="162" spans="1:10" ht="20" customHeight="1" x14ac:dyDescent="0.35">
      <c r="A162" s="3">
        <v>159</v>
      </c>
      <c r="B162" s="3" t="s">
        <v>14</v>
      </c>
      <c r="C162" s="2"/>
      <c r="D162" s="2" t="s">
        <v>154</v>
      </c>
      <c r="E162" s="12">
        <v>34500</v>
      </c>
      <c r="F162" s="19">
        <f t="shared" si="18"/>
        <v>15</v>
      </c>
      <c r="G162" s="20">
        <f t="shared" si="19"/>
        <v>20700</v>
      </c>
      <c r="H162" s="20">
        <f t="shared" si="20"/>
        <v>27600</v>
      </c>
      <c r="I162" s="20">
        <f t="shared" si="25"/>
        <v>51750</v>
      </c>
      <c r="J162" s="18">
        <f t="shared" si="26"/>
        <v>69000</v>
      </c>
    </row>
    <row r="163" spans="1:10" ht="20" customHeight="1" x14ac:dyDescent="0.35">
      <c r="A163" s="6">
        <v>160</v>
      </c>
      <c r="B163" s="6" t="s">
        <v>14</v>
      </c>
      <c r="C163" s="5"/>
      <c r="D163" s="5" t="s">
        <v>155</v>
      </c>
      <c r="E163" s="12">
        <v>16100</v>
      </c>
      <c r="F163" s="16">
        <f t="shared" si="18"/>
        <v>7</v>
      </c>
      <c r="G163" s="17">
        <f t="shared" si="19"/>
        <v>9660</v>
      </c>
      <c r="H163" s="17">
        <f t="shared" si="20"/>
        <v>12880</v>
      </c>
      <c r="I163" s="17">
        <f t="shared" si="25"/>
        <v>24150</v>
      </c>
      <c r="J163" s="18">
        <f t="shared" si="26"/>
        <v>32200</v>
      </c>
    </row>
    <row r="164" spans="1:10" ht="20" customHeight="1" x14ac:dyDescent="0.35">
      <c r="A164" s="3">
        <v>161</v>
      </c>
      <c r="B164" s="3" t="s">
        <v>14</v>
      </c>
      <c r="C164" s="2"/>
      <c r="D164" s="2" t="s">
        <v>156</v>
      </c>
      <c r="E164" s="12">
        <v>11500</v>
      </c>
      <c r="F164" s="19">
        <f t="shared" si="18"/>
        <v>5</v>
      </c>
      <c r="G164" s="20">
        <f t="shared" si="19"/>
        <v>6900</v>
      </c>
      <c r="H164" s="20">
        <f t="shared" si="20"/>
        <v>9200</v>
      </c>
      <c r="I164" s="20">
        <f t="shared" si="25"/>
        <v>17250</v>
      </c>
      <c r="J164" s="18">
        <f t="shared" si="26"/>
        <v>23000</v>
      </c>
    </row>
    <row r="165" spans="1:10" ht="20" customHeight="1" x14ac:dyDescent="0.35">
      <c r="A165" s="6">
        <v>162</v>
      </c>
      <c r="B165" s="6" t="s">
        <v>14</v>
      </c>
      <c r="C165" s="5"/>
      <c r="D165" s="5" t="s">
        <v>157</v>
      </c>
      <c r="E165" s="12">
        <v>11500</v>
      </c>
      <c r="F165" s="16">
        <f t="shared" si="18"/>
        <v>5</v>
      </c>
      <c r="G165" s="17">
        <f t="shared" si="19"/>
        <v>6900</v>
      </c>
      <c r="H165" s="17">
        <f t="shared" si="20"/>
        <v>9200</v>
      </c>
      <c r="I165" s="17">
        <f t="shared" si="25"/>
        <v>17250</v>
      </c>
      <c r="J165" s="18">
        <f t="shared" si="26"/>
        <v>23000</v>
      </c>
    </row>
    <row r="166" spans="1:10" ht="20" customHeight="1" x14ac:dyDescent="0.35">
      <c r="A166" s="3">
        <v>163</v>
      </c>
      <c r="B166" s="3" t="s">
        <v>14</v>
      </c>
      <c r="C166" s="2"/>
      <c r="D166" s="2" t="s">
        <v>142</v>
      </c>
      <c r="E166" s="12">
        <v>23000</v>
      </c>
      <c r="F166" s="19">
        <f t="shared" si="18"/>
        <v>10</v>
      </c>
      <c r="G166" s="20">
        <f t="shared" si="19"/>
        <v>13800</v>
      </c>
      <c r="H166" s="20">
        <f t="shared" si="20"/>
        <v>18400</v>
      </c>
      <c r="I166" s="20">
        <f t="shared" si="25"/>
        <v>34500</v>
      </c>
      <c r="J166" s="18">
        <f t="shared" si="26"/>
        <v>46000</v>
      </c>
    </row>
    <row r="167" spans="1:10" ht="20" customHeight="1" x14ac:dyDescent="0.35">
      <c r="A167" s="6">
        <v>164</v>
      </c>
      <c r="B167" s="6" t="s">
        <v>14</v>
      </c>
      <c r="C167" s="5"/>
      <c r="D167" s="5" t="s">
        <v>72</v>
      </c>
      <c r="E167" s="12">
        <v>9200</v>
      </c>
      <c r="F167" s="16">
        <f t="shared" si="18"/>
        <v>4</v>
      </c>
      <c r="G167" s="17">
        <f t="shared" si="19"/>
        <v>5520</v>
      </c>
      <c r="H167" s="17">
        <f t="shared" si="20"/>
        <v>7360</v>
      </c>
      <c r="I167" s="17">
        <f t="shared" si="25"/>
        <v>13800</v>
      </c>
      <c r="J167" s="18">
        <f t="shared" si="26"/>
        <v>18400</v>
      </c>
    </row>
    <row r="168" spans="1:10" ht="20" customHeight="1" x14ac:dyDescent="0.35">
      <c r="A168" s="3">
        <v>165</v>
      </c>
      <c r="B168" s="3" t="s">
        <v>14</v>
      </c>
      <c r="C168" s="2"/>
      <c r="D168" s="2" t="s">
        <v>76</v>
      </c>
      <c r="E168" s="12">
        <v>9200</v>
      </c>
      <c r="F168" s="19">
        <f t="shared" si="18"/>
        <v>4</v>
      </c>
      <c r="G168" s="20">
        <f t="shared" si="19"/>
        <v>5520</v>
      </c>
      <c r="H168" s="20">
        <f t="shared" si="20"/>
        <v>7360</v>
      </c>
      <c r="I168" s="20">
        <f t="shared" si="25"/>
        <v>13800</v>
      </c>
      <c r="J168" s="18">
        <f t="shared" si="26"/>
        <v>18400</v>
      </c>
    </row>
    <row r="169" spans="1:10" ht="20" customHeight="1" x14ac:dyDescent="0.35">
      <c r="A169" s="6">
        <v>166</v>
      </c>
      <c r="B169" s="6" t="s">
        <v>14</v>
      </c>
      <c r="C169" s="5"/>
      <c r="D169" s="5" t="s">
        <v>77</v>
      </c>
      <c r="E169" s="12">
        <v>11500</v>
      </c>
      <c r="F169" s="16">
        <f t="shared" si="18"/>
        <v>5</v>
      </c>
      <c r="G169" s="17">
        <f t="shared" si="19"/>
        <v>6900</v>
      </c>
      <c r="H169" s="17">
        <f t="shared" si="20"/>
        <v>9200</v>
      </c>
      <c r="I169" s="17">
        <f t="shared" si="25"/>
        <v>17250</v>
      </c>
      <c r="J169" s="18">
        <f t="shared" si="26"/>
        <v>23000</v>
      </c>
    </row>
    <row r="170" spans="1:10" ht="20" customHeight="1" x14ac:dyDescent="0.35">
      <c r="A170" s="3">
        <v>167</v>
      </c>
      <c r="B170" s="3" t="s">
        <v>14</v>
      </c>
      <c r="C170" s="2"/>
      <c r="D170" s="2" t="s">
        <v>78</v>
      </c>
      <c r="E170" s="12">
        <v>11500</v>
      </c>
      <c r="F170" s="19">
        <f t="shared" si="18"/>
        <v>5</v>
      </c>
      <c r="G170" s="20">
        <f t="shared" si="19"/>
        <v>6900</v>
      </c>
      <c r="H170" s="20">
        <f t="shared" si="20"/>
        <v>9200</v>
      </c>
      <c r="I170" s="20">
        <f t="shared" si="25"/>
        <v>17250</v>
      </c>
      <c r="J170" s="18">
        <f t="shared" si="26"/>
        <v>23000</v>
      </c>
    </row>
    <row r="171" spans="1:10" ht="20" customHeight="1" x14ac:dyDescent="0.35">
      <c r="A171" s="6">
        <v>168</v>
      </c>
      <c r="B171" s="6" t="s">
        <v>14</v>
      </c>
      <c r="C171" s="5"/>
      <c r="D171" s="5" t="s">
        <v>158</v>
      </c>
      <c r="E171" s="12">
        <v>11500</v>
      </c>
      <c r="F171" s="16">
        <f t="shared" si="18"/>
        <v>5</v>
      </c>
      <c r="G171" s="17">
        <f t="shared" si="19"/>
        <v>6900</v>
      </c>
      <c r="H171" s="17">
        <f t="shared" si="20"/>
        <v>9200</v>
      </c>
      <c r="I171" s="17">
        <f t="shared" si="25"/>
        <v>17250</v>
      </c>
      <c r="J171" s="18">
        <f t="shared" si="26"/>
        <v>23000</v>
      </c>
    </row>
    <row r="172" spans="1:10" ht="20" customHeight="1" x14ac:dyDescent="0.35">
      <c r="A172" s="3">
        <v>169</v>
      </c>
      <c r="B172" s="3" t="s">
        <v>14</v>
      </c>
      <c r="C172" s="2"/>
      <c r="D172" s="2" t="s">
        <v>79</v>
      </c>
      <c r="E172" s="12">
        <v>23000</v>
      </c>
      <c r="F172" s="19">
        <f t="shared" si="18"/>
        <v>10</v>
      </c>
      <c r="G172" s="20">
        <f t="shared" si="19"/>
        <v>13800</v>
      </c>
      <c r="H172" s="20">
        <f t="shared" si="20"/>
        <v>18400</v>
      </c>
      <c r="I172" s="20">
        <f t="shared" si="25"/>
        <v>34500</v>
      </c>
      <c r="J172" s="18">
        <f t="shared" si="26"/>
        <v>46000</v>
      </c>
    </row>
    <row r="173" spans="1:10" ht="20" customHeight="1" x14ac:dyDescent="0.35">
      <c r="A173" s="6">
        <v>170</v>
      </c>
      <c r="B173" s="6" t="s">
        <v>16</v>
      </c>
      <c r="C173" s="5"/>
      <c r="D173" s="5" t="s">
        <v>159</v>
      </c>
      <c r="E173" s="12">
        <v>345000</v>
      </c>
      <c r="F173" s="16">
        <f t="shared" si="18"/>
        <v>150</v>
      </c>
      <c r="G173" s="17">
        <f t="shared" si="19"/>
        <v>207000</v>
      </c>
      <c r="H173" s="17">
        <f t="shared" si="20"/>
        <v>276000</v>
      </c>
      <c r="I173" s="17">
        <f t="shared" si="25"/>
        <v>517500</v>
      </c>
      <c r="J173" s="18">
        <f t="shared" si="26"/>
        <v>690000</v>
      </c>
    </row>
    <row r="174" spans="1:10" ht="20" customHeight="1" x14ac:dyDescent="0.35">
      <c r="A174" s="3">
        <v>171</v>
      </c>
      <c r="B174" s="3" t="s">
        <v>16</v>
      </c>
      <c r="C174" s="2"/>
      <c r="D174" s="2" t="s">
        <v>160</v>
      </c>
      <c r="E174" s="12">
        <v>34500</v>
      </c>
      <c r="F174" s="19">
        <f t="shared" si="18"/>
        <v>15</v>
      </c>
      <c r="G174" s="20">
        <f t="shared" si="19"/>
        <v>20700</v>
      </c>
      <c r="H174" s="20">
        <f t="shared" si="20"/>
        <v>27600</v>
      </c>
      <c r="I174" s="20">
        <f t="shared" si="25"/>
        <v>51750</v>
      </c>
      <c r="J174" s="18">
        <f t="shared" si="26"/>
        <v>69000</v>
      </c>
    </row>
    <row r="175" spans="1:10" ht="20" customHeight="1" x14ac:dyDescent="0.35">
      <c r="A175" s="6">
        <v>172</v>
      </c>
      <c r="B175" s="6" t="s">
        <v>16</v>
      </c>
      <c r="C175" s="5"/>
      <c r="D175" s="5" t="s">
        <v>161</v>
      </c>
      <c r="E175" s="12">
        <v>11500</v>
      </c>
      <c r="F175" s="16">
        <f t="shared" si="18"/>
        <v>5</v>
      </c>
      <c r="G175" s="17">
        <f t="shared" si="19"/>
        <v>6900</v>
      </c>
      <c r="H175" s="17">
        <f t="shared" si="20"/>
        <v>9200</v>
      </c>
      <c r="I175" s="17">
        <f t="shared" si="25"/>
        <v>17250</v>
      </c>
      <c r="J175" s="18">
        <f t="shared" si="26"/>
        <v>23000</v>
      </c>
    </row>
    <row r="176" spans="1:10" ht="20" customHeight="1" x14ac:dyDescent="0.35">
      <c r="A176" s="3">
        <v>173</v>
      </c>
      <c r="B176" s="3" t="s">
        <v>16</v>
      </c>
      <c r="C176" s="2"/>
      <c r="D176" s="2" t="s">
        <v>162</v>
      </c>
      <c r="E176" s="12">
        <v>23000</v>
      </c>
      <c r="F176" s="19">
        <f t="shared" si="18"/>
        <v>10</v>
      </c>
      <c r="G176" s="20">
        <f t="shared" si="19"/>
        <v>13800</v>
      </c>
      <c r="H176" s="20">
        <f t="shared" si="20"/>
        <v>18400</v>
      </c>
      <c r="I176" s="20">
        <f t="shared" si="25"/>
        <v>34500</v>
      </c>
      <c r="J176" s="18">
        <f t="shared" si="26"/>
        <v>46000</v>
      </c>
    </row>
    <row r="177" spans="1:10" ht="20" customHeight="1" x14ac:dyDescent="0.35">
      <c r="A177" s="6">
        <v>174</v>
      </c>
      <c r="B177" s="6" t="s">
        <v>16</v>
      </c>
      <c r="C177" s="5"/>
      <c r="D177" s="5" t="s">
        <v>163</v>
      </c>
      <c r="E177" s="12">
        <v>6900</v>
      </c>
      <c r="F177" s="16">
        <f t="shared" si="18"/>
        <v>3</v>
      </c>
      <c r="G177" s="17">
        <f t="shared" si="19"/>
        <v>4140</v>
      </c>
      <c r="H177" s="17">
        <f t="shared" si="20"/>
        <v>5520</v>
      </c>
      <c r="I177" s="17">
        <f t="shared" si="25"/>
        <v>10350</v>
      </c>
      <c r="J177" s="18">
        <f t="shared" si="26"/>
        <v>13800</v>
      </c>
    </row>
    <row r="178" spans="1:10" ht="20" customHeight="1" x14ac:dyDescent="0.35">
      <c r="A178" s="3">
        <v>175</v>
      </c>
      <c r="B178" s="3" t="s">
        <v>16</v>
      </c>
      <c r="C178" s="2"/>
      <c r="D178" s="2" t="s">
        <v>164</v>
      </c>
      <c r="E178" s="12">
        <v>4600</v>
      </c>
      <c r="F178" s="19">
        <f t="shared" si="18"/>
        <v>2</v>
      </c>
      <c r="G178" s="20">
        <f t="shared" si="19"/>
        <v>2760</v>
      </c>
      <c r="H178" s="20">
        <f t="shared" si="20"/>
        <v>3680</v>
      </c>
      <c r="I178" s="20">
        <f t="shared" si="25"/>
        <v>6900</v>
      </c>
      <c r="J178" s="18">
        <f t="shared" si="26"/>
        <v>9200</v>
      </c>
    </row>
    <row r="179" spans="1:10" ht="20" customHeight="1" x14ac:dyDescent="0.35">
      <c r="A179" s="6">
        <v>176</v>
      </c>
      <c r="B179" s="6" t="s">
        <v>16</v>
      </c>
      <c r="C179" s="5"/>
      <c r="D179" s="5" t="s">
        <v>73</v>
      </c>
      <c r="E179" s="12">
        <v>23000</v>
      </c>
      <c r="F179" s="16">
        <f t="shared" si="18"/>
        <v>10</v>
      </c>
      <c r="G179" s="17">
        <f t="shared" si="19"/>
        <v>13800</v>
      </c>
      <c r="H179" s="17">
        <f t="shared" si="20"/>
        <v>18400</v>
      </c>
      <c r="I179" s="17">
        <f t="shared" si="25"/>
        <v>34500</v>
      </c>
      <c r="J179" s="18">
        <f t="shared" si="26"/>
        <v>46000</v>
      </c>
    </row>
    <row r="180" spans="1:10" ht="20" customHeight="1" x14ac:dyDescent="0.35">
      <c r="A180" s="3">
        <v>177</v>
      </c>
      <c r="B180" s="3" t="s">
        <v>16</v>
      </c>
      <c r="C180" s="2"/>
      <c r="D180" s="2" t="s">
        <v>76</v>
      </c>
      <c r="E180" s="12">
        <v>9200</v>
      </c>
      <c r="F180" s="19">
        <f t="shared" si="18"/>
        <v>4</v>
      </c>
      <c r="G180" s="20">
        <f t="shared" si="19"/>
        <v>5520</v>
      </c>
      <c r="H180" s="20">
        <f t="shared" si="20"/>
        <v>7360</v>
      </c>
      <c r="I180" s="20">
        <f t="shared" si="25"/>
        <v>13800</v>
      </c>
      <c r="J180" s="18">
        <f t="shared" si="26"/>
        <v>18400</v>
      </c>
    </row>
    <row r="181" spans="1:10" ht="20" customHeight="1" x14ac:dyDescent="0.35">
      <c r="A181" s="6">
        <v>178</v>
      </c>
      <c r="B181" s="6" t="s">
        <v>16</v>
      </c>
      <c r="C181" s="5"/>
      <c r="D181" s="5" t="s">
        <v>77</v>
      </c>
      <c r="E181" s="12">
        <v>11500</v>
      </c>
      <c r="F181" s="16">
        <f t="shared" si="18"/>
        <v>5</v>
      </c>
      <c r="G181" s="17">
        <f t="shared" si="19"/>
        <v>6900</v>
      </c>
      <c r="H181" s="17">
        <f t="shared" si="20"/>
        <v>9200</v>
      </c>
      <c r="I181" s="17">
        <f t="shared" si="25"/>
        <v>17250</v>
      </c>
      <c r="J181" s="18">
        <f t="shared" si="26"/>
        <v>23000</v>
      </c>
    </row>
    <row r="182" spans="1:10" ht="20" customHeight="1" x14ac:dyDescent="0.35">
      <c r="A182" s="3">
        <v>179</v>
      </c>
      <c r="B182" s="3" t="s">
        <v>16</v>
      </c>
      <c r="C182" s="2"/>
      <c r="D182" s="2" t="s">
        <v>78</v>
      </c>
      <c r="E182" s="12">
        <v>23000</v>
      </c>
      <c r="F182" s="19">
        <f t="shared" si="18"/>
        <v>10</v>
      </c>
      <c r="G182" s="20">
        <f t="shared" si="19"/>
        <v>13800</v>
      </c>
      <c r="H182" s="20">
        <f t="shared" si="20"/>
        <v>18400</v>
      </c>
      <c r="I182" s="20">
        <f t="shared" si="25"/>
        <v>34500</v>
      </c>
      <c r="J182" s="18">
        <f t="shared" si="26"/>
        <v>46000</v>
      </c>
    </row>
    <row r="183" spans="1:10" ht="20" customHeight="1" x14ac:dyDescent="0.35">
      <c r="A183" s="6">
        <v>180</v>
      </c>
      <c r="B183" s="6" t="s">
        <v>16</v>
      </c>
      <c r="C183" s="5"/>
      <c r="D183" s="5" t="s">
        <v>79</v>
      </c>
      <c r="E183" s="12">
        <v>23000</v>
      </c>
      <c r="F183" s="16">
        <f t="shared" si="18"/>
        <v>10</v>
      </c>
      <c r="G183" s="17">
        <f t="shared" si="19"/>
        <v>13800</v>
      </c>
      <c r="H183" s="17">
        <f t="shared" si="20"/>
        <v>18400</v>
      </c>
      <c r="I183" s="17">
        <f t="shared" si="25"/>
        <v>34500</v>
      </c>
      <c r="J183" s="18">
        <f t="shared" si="26"/>
        <v>46000</v>
      </c>
    </row>
    <row r="184" spans="1:10" ht="20" customHeight="1" x14ac:dyDescent="0.35">
      <c r="A184" s="3">
        <v>181</v>
      </c>
      <c r="B184" s="3" t="s">
        <v>18</v>
      </c>
      <c r="C184" s="2"/>
      <c r="D184" s="2" t="s">
        <v>165</v>
      </c>
      <c r="E184" s="12">
        <v>23000</v>
      </c>
      <c r="F184" s="19">
        <f t="shared" si="18"/>
        <v>10</v>
      </c>
      <c r="G184" s="20">
        <f t="shared" si="19"/>
        <v>13800</v>
      </c>
      <c r="H184" s="20">
        <f t="shared" si="20"/>
        <v>18400</v>
      </c>
      <c r="I184" s="20">
        <f t="shared" si="25"/>
        <v>34500</v>
      </c>
      <c r="J184" s="18">
        <f t="shared" si="26"/>
        <v>46000</v>
      </c>
    </row>
    <row r="185" spans="1:10" ht="20" customHeight="1" x14ac:dyDescent="0.35">
      <c r="A185" s="6">
        <v>182</v>
      </c>
      <c r="B185" s="6" t="s">
        <v>18</v>
      </c>
      <c r="C185" s="5"/>
      <c r="D185" s="5" t="s">
        <v>166</v>
      </c>
      <c r="E185" s="12">
        <v>2300</v>
      </c>
      <c r="F185" s="16">
        <f t="shared" si="18"/>
        <v>1</v>
      </c>
      <c r="G185" s="17">
        <f t="shared" si="19"/>
        <v>1380</v>
      </c>
      <c r="H185" s="17">
        <f t="shared" si="20"/>
        <v>1840</v>
      </c>
      <c r="I185" s="17">
        <f t="shared" si="25"/>
        <v>3450</v>
      </c>
      <c r="J185" s="18">
        <f t="shared" si="26"/>
        <v>4600</v>
      </c>
    </row>
    <row r="186" spans="1:10" ht="20" customHeight="1" x14ac:dyDescent="0.35">
      <c r="A186" s="3">
        <v>183</v>
      </c>
      <c r="B186" s="3" t="s">
        <v>18</v>
      </c>
      <c r="C186" s="2"/>
      <c r="D186" s="2" t="s">
        <v>167</v>
      </c>
      <c r="E186" s="12">
        <v>3450</v>
      </c>
      <c r="F186" s="19">
        <f t="shared" si="18"/>
        <v>1.5</v>
      </c>
      <c r="G186" s="20">
        <f t="shared" si="19"/>
        <v>2070</v>
      </c>
      <c r="H186" s="20">
        <f t="shared" si="20"/>
        <v>2760</v>
      </c>
      <c r="I186" s="20">
        <f t="shared" si="25"/>
        <v>5175</v>
      </c>
      <c r="J186" s="18">
        <f t="shared" si="26"/>
        <v>6900</v>
      </c>
    </row>
    <row r="187" spans="1:10" ht="20" customHeight="1" x14ac:dyDescent="0.35">
      <c r="A187" s="6">
        <v>184</v>
      </c>
      <c r="B187" s="6" t="s">
        <v>18</v>
      </c>
      <c r="C187" s="5"/>
      <c r="D187" s="5" t="s">
        <v>168</v>
      </c>
      <c r="E187" s="12">
        <v>2300</v>
      </c>
      <c r="F187" s="16">
        <f t="shared" si="18"/>
        <v>1</v>
      </c>
      <c r="G187" s="17">
        <f t="shared" si="19"/>
        <v>1380</v>
      </c>
      <c r="H187" s="17">
        <f t="shared" si="20"/>
        <v>1840</v>
      </c>
      <c r="I187" s="17">
        <f t="shared" si="25"/>
        <v>3450</v>
      </c>
      <c r="J187" s="18">
        <f t="shared" si="26"/>
        <v>4600</v>
      </c>
    </row>
    <row r="188" spans="1:10" ht="20" customHeight="1" x14ac:dyDescent="0.35">
      <c r="A188" s="3">
        <v>185</v>
      </c>
      <c r="B188" s="3" t="s">
        <v>18</v>
      </c>
      <c r="C188" s="2"/>
      <c r="D188" s="2" t="s">
        <v>169</v>
      </c>
      <c r="E188" s="12">
        <v>11500</v>
      </c>
      <c r="F188" s="19">
        <f t="shared" si="18"/>
        <v>5</v>
      </c>
      <c r="G188" s="20">
        <f t="shared" si="19"/>
        <v>6900</v>
      </c>
      <c r="H188" s="20">
        <f t="shared" si="20"/>
        <v>9200</v>
      </c>
      <c r="I188" s="20">
        <f t="shared" si="25"/>
        <v>17250</v>
      </c>
      <c r="J188" s="18">
        <f t="shared" si="26"/>
        <v>23000</v>
      </c>
    </row>
    <row r="189" spans="1:10" ht="20" customHeight="1" x14ac:dyDescent="0.35">
      <c r="A189" s="6">
        <v>186</v>
      </c>
      <c r="B189" s="6" t="s">
        <v>18</v>
      </c>
      <c r="C189" s="5"/>
      <c r="D189" s="5" t="s">
        <v>170</v>
      </c>
      <c r="E189" s="12">
        <v>6900</v>
      </c>
      <c r="F189" s="16">
        <f t="shared" si="18"/>
        <v>3</v>
      </c>
      <c r="G189" s="17">
        <f t="shared" si="19"/>
        <v>4140</v>
      </c>
      <c r="H189" s="17">
        <f t="shared" si="20"/>
        <v>5520</v>
      </c>
      <c r="I189" s="17">
        <f t="shared" si="25"/>
        <v>10350</v>
      </c>
      <c r="J189" s="18">
        <f t="shared" si="26"/>
        <v>13800</v>
      </c>
    </row>
    <row r="190" spans="1:10" ht="20" customHeight="1" x14ac:dyDescent="0.35">
      <c r="A190" s="3">
        <v>187</v>
      </c>
      <c r="B190" s="3" t="s">
        <v>18</v>
      </c>
      <c r="C190" s="2"/>
      <c r="D190" s="2" t="s">
        <v>171</v>
      </c>
      <c r="E190" s="12">
        <v>9200</v>
      </c>
      <c r="F190" s="19">
        <f t="shared" si="18"/>
        <v>4</v>
      </c>
      <c r="G190" s="20">
        <f t="shared" si="19"/>
        <v>5520</v>
      </c>
      <c r="H190" s="20">
        <f t="shared" si="20"/>
        <v>7360</v>
      </c>
      <c r="I190" s="20">
        <f t="shared" si="25"/>
        <v>13800</v>
      </c>
      <c r="J190" s="18">
        <f t="shared" si="26"/>
        <v>18400</v>
      </c>
    </row>
    <row r="191" spans="1:10" ht="20" customHeight="1" x14ac:dyDescent="0.35">
      <c r="A191" s="6">
        <v>188</v>
      </c>
      <c r="B191" s="6" t="s">
        <v>18</v>
      </c>
      <c r="C191" s="5"/>
      <c r="D191" s="5" t="s">
        <v>172</v>
      </c>
      <c r="E191" s="12">
        <v>6900</v>
      </c>
      <c r="F191" s="16">
        <f t="shared" si="18"/>
        <v>3</v>
      </c>
      <c r="G191" s="17">
        <f t="shared" si="19"/>
        <v>4140</v>
      </c>
      <c r="H191" s="17">
        <f t="shared" si="20"/>
        <v>5520</v>
      </c>
      <c r="I191" s="17">
        <f t="shared" ref="I191:I226" si="27">ROUND($E191*1.5,0)</f>
        <v>10350</v>
      </c>
      <c r="J191" s="18">
        <f t="shared" ref="J191:J226" si="28">ROUND($E191*2,0)</f>
        <v>13800</v>
      </c>
    </row>
    <row r="192" spans="1:10" ht="20" customHeight="1" x14ac:dyDescent="0.35">
      <c r="A192" s="3">
        <v>189</v>
      </c>
      <c r="B192" s="3" t="s">
        <v>18</v>
      </c>
      <c r="C192" s="2"/>
      <c r="D192" s="2" t="s">
        <v>173</v>
      </c>
      <c r="E192" s="12">
        <v>4600</v>
      </c>
      <c r="F192" s="19">
        <f t="shared" si="18"/>
        <v>2</v>
      </c>
      <c r="G192" s="20">
        <f t="shared" si="19"/>
        <v>2760</v>
      </c>
      <c r="H192" s="20">
        <f t="shared" si="20"/>
        <v>3680</v>
      </c>
      <c r="I192" s="20">
        <f t="shared" si="27"/>
        <v>6900</v>
      </c>
      <c r="J192" s="18">
        <f t="shared" si="28"/>
        <v>9200</v>
      </c>
    </row>
    <row r="193" spans="1:10" ht="20" customHeight="1" x14ac:dyDescent="0.35">
      <c r="A193" s="6">
        <v>190</v>
      </c>
      <c r="B193" s="6" t="s">
        <v>18</v>
      </c>
      <c r="C193" s="5"/>
      <c r="D193" s="5" t="s">
        <v>174</v>
      </c>
      <c r="E193" s="12">
        <v>4600</v>
      </c>
      <c r="F193" s="16">
        <f t="shared" si="18"/>
        <v>2</v>
      </c>
      <c r="G193" s="17">
        <f t="shared" si="19"/>
        <v>2760</v>
      </c>
      <c r="H193" s="17">
        <f t="shared" si="20"/>
        <v>3680</v>
      </c>
      <c r="I193" s="17">
        <f t="shared" si="27"/>
        <v>6900</v>
      </c>
      <c r="J193" s="18">
        <f t="shared" si="28"/>
        <v>9200</v>
      </c>
    </row>
    <row r="194" spans="1:10" ht="20" customHeight="1" x14ac:dyDescent="0.35">
      <c r="A194" s="3">
        <v>191</v>
      </c>
      <c r="B194" s="3" t="s">
        <v>18</v>
      </c>
      <c r="C194" s="2"/>
      <c r="D194" s="2" t="s">
        <v>175</v>
      </c>
      <c r="E194" s="12">
        <v>4600</v>
      </c>
      <c r="F194" s="19">
        <f t="shared" si="18"/>
        <v>2</v>
      </c>
      <c r="G194" s="20">
        <f t="shared" si="19"/>
        <v>2760</v>
      </c>
      <c r="H194" s="20">
        <f t="shared" si="20"/>
        <v>3680</v>
      </c>
      <c r="I194" s="20">
        <f t="shared" si="27"/>
        <v>6900</v>
      </c>
      <c r="J194" s="18">
        <f t="shared" si="28"/>
        <v>9200</v>
      </c>
    </row>
    <row r="195" spans="1:10" ht="20" customHeight="1" x14ac:dyDescent="0.35">
      <c r="A195" s="6">
        <v>192</v>
      </c>
      <c r="B195" s="6" t="s">
        <v>18</v>
      </c>
      <c r="C195" s="5"/>
      <c r="D195" s="5" t="s">
        <v>176</v>
      </c>
      <c r="E195" s="12">
        <v>6900</v>
      </c>
      <c r="F195" s="16">
        <f t="shared" si="18"/>
        <v>3</v>
      </c>
      <c r="G195" s="17">
        <f t="shared" si="19"/>
        <v>4140</v>
      </c>
      <c r="H195" s="17">
        <f t="shared" si="20"/>
        <v>5520</v>
      </c>
      <c r="I195" s="17">
        <f t="shared" si="27"/>
        <v>10350</v>
      </c>
      <c r="J195" s="18">
        <f t="shared" si="28"/>
        <v>13800</v>
      </c>
    </row>
    <row r="196" spans="1:10" ht="20" customHeight="1" x14ac:dyDescent="0.35">
      <c r="A196" s="3">
        <v>193</v>
      </c>
      <c r="B196" s="3" t="s">
        <v>20</v>
      </c>
      <c r="C196" s="2" t="s">
        <v>177</v>
      </c>
      <c r="D196" s="2" t="s">
        <v>178</v>
      </c>
      <c r="E196" s="12">
        <v>34500</v>
      </c>
      <c r="F196" s="19">
        <f t="shared" ref="F196:F259" si="29">ROUND($E196/2300,2)</f>
        <v>15</v>
      </c>
      <c r="G196" s="20">
        <f t="shared" ref="G196:G259" si="30">ROUND($E196*0.6,0)</f>
        <v>20700</v>
      </c>
      <c r="H196" s="20">
        <f t="shared" ref="H196:H259" si="31">ROUND($E196*0.8,0)</f>
        <v>27600</v>
      </c>
      <c r="I196" s="20">
        <f t="shared" si="27"/>
        <v>51750</v>
      </c>
      <c r="J196" s="18">
        <f t="shared" si="28"/>
        <v>69000</v>
      </c>
    </row>
    <row r="197" spans="1:10" ht="20" customHeight="1" x14ac:dyDescent="0.35">
      <c r="A197" s="6">
        <v>194</v>
      </c>
      <c r="B197" s="6" t="s">
        <v>20</v>
      </c>
      <c r="C197" s="5" t="s">
        <v>177</v>
      </c>
      <c r="D197" s="5" t="s">
        <v>179</v>
      </c>
      <c r="E197" s="12">
        <v>46000</v>
      </c>
      <c r="F197" s="16">
        <f t="shared" si="29"/>
        <v>20</v>
      </c>
      <c r="G197" s="17">
        <f t="shared" si="30"/>
        <v>27600</v>
      </c>
      <c r="H197" s="17">
        <f t="shared" si="31"/>
        <v>36800</v>
      </c>
      <c r="I197" s="17">
        <f t="shared" si="27"/>
        <v>69000</v>
      </c>
      <c r="J197" s="18">
        <f t="shared" si="28"/>
        <v>92000</v>
      </c>
    </row>
    <row r="198" spans="1:10" ht="20" customHeight="1" x14ac:dyDescent="0.35">
      <c r="A198" s="3">
        <v>195</v>
      </c>
      <c r="B198" s="3" t="s">
        <v>20</v>
      </c>
      <c r="C198" s="2" t="s">
        <v>180</v>
      </c>
      <c r="D198" s="2" t="s">
        <v>181</v>
      </c>
      <c r="E198" s="12">
        <v>34500</v>
      </c>
      <c r="F198" s="19">
        <f t="shared" si="29"/>
        <v>15</v>
      </c>
      <c r="G198" s="20">
        <f t="shared" si="30"/>
        <v>20700</v>
      </c>
      <c r="H198" s="20">
        <f t="shared" si="31"/>
        <v>27600</v>
      </c>
      <c r="I198" s="20">
        <f t="shared" si="27"/>
        <v>51750</v>
      </c>
      <c r="J198" s="18">
        <f t="shared" si="28"/>
        <v>69000</v>
      </c>
    </row>
    <row r="199" spans="1:10" ht="20" customHeight="1" x14ac:dyDescent="0.35">
      <c r="A199" s="6">
        <v>196</v>
      </c>
      <c r="B199" s="6" t="s">
        <v>20</v>
      </c>
      <c r="C199" s="5" t="s">
        <v>180</v>
      </c>
      <c r="D199" s="5" t="s">
        <v>182</v>
      </c>
      <c r="E199" s="12">
        <v>5750</v>
      </c>
      <c r="F199" s="16">
        <f t="shared" si="29"/>
        <v>2.5</v>
      </c>
      <c r="G199" s="17">
        <f t="shared" si="30"/>
        <v>3450</v>
      </c>
      <c r="H199" s="17">
        <f t="shared" si="31"/>
        <v>4600</v>
      </c>
      <c r="I199" s="17">
        <f t="shared" si="27"/>
        <v>8625</v>
      </c>
      <c r="J199" s="18">
        <f t="shared" si="28"/>
        <v>11500</v>
      </c>
    </row>
    <row r="200" spans="1:10" ht="20" customHeight="1" x14ac:dyDescent="0.35">
      <c r="A200" s="3">
        <v>197</v>
      </c>
      <c r="B200" s="3" t="s">
        <v>20</v>
      </c>
      <c r="C200" s="2" t="s">
        <v>183</v>
      </c>
      <c r="D200" s="2" t="s">
        <v>184</v>
      </c>
      <c r="E200" s="12">
        <v>5750</v>
      </c>
      <c r="F200" s="19">
        <f t="shared" si="29"/>
        <v>2.5</v>
      </c>
      <c r="G200" s="20">
        <f t="shared" si="30"/>
        <v>3450</v>
      </c>
      <c r="H200" s="20">
        <f t="shared" si="31"/>
        <v>4600</v>
      </c>
      <c r="I200" s="20">
        <f t="shared" si="27"/>
        <v>8625</v>
      </c>
      <c r="J200" s="18">
        <f t="shared" si="28"/>
        <v>11500</v>
      </c>
    </row>
    <row r="201" spans="1:10" ht="20" customHeight="1" x14ac:dyDescent="0.35">
      <c r="A201" s="6">
        <v>198</v>
      </c>
      <c r="B201" s="6" t="s">
        <v>20</v>
      </c>
      <c r="C201" s="5" t="s">
        <v>183</v>
      </c>
      <c r="D201" s="5" t="s">
        <v>185</v>
      </c>
      <c r="E201" s="12">
        <v>23000</v>
      </c>
      <c r="F201" s="16">
        <f t="shared" si="29"/>
        <v>10</v>
      </c>
      <c r="G201" s="17">
        <f t="shared" si="30"/>
        <v>13800</v>
      </c>
      <c r="H201" s="17">
        <f t="shared" si="31"/>
        <v>18400</v>
      </c>
      <c r="I201" s="17">
        <f t="shared" si="27"/>
        <v>34500</v>
      </c>
      <c r="J201" s="18">
        <f t="shared" si="28"/>
        <v>46000</v>
      </c>
    </row>
    <row r="202" spans="1:10" ht="20" customHeight="1" x14ac:dyDescent="0.35">
      <c r="A202" s="3">
        <v>199</v>
      </c>
      <c r="B202" s="3" t="s">
        <v>20</v>
      </c>
      <c r="C202" s="2" t="s">
        <v>186</v>
      </c>
      <c r="D202" s="2" t="s">
        <v>187</v>
      </c>
      <c r="E202" s="12">
        <v>29900</v>
      </c>
      <c r="F202" s="19">
        <f t="shared" si="29"/>
        <v>13</v>
      </c>
      <c r="G202" s="20">
        <f t="shared" si="30"/>
        <v>17940</v>
      </c>
      <c r="H202" s="20">
        <f t="shared" si="31"/>
        <v>23920</v>
      </c>
      <c r="I202" s="20">
        <f t="shared" si="27"/>
        <v>44850</v>
      </c>
      <c r="J202" s="18">
        <f t="shared" si="28"/>
        <v>59800</v>
      </c>
    </row>
    <row r="203" spans="1:10" ht="20" customHeight="1" x14ac:dyDescent="0.35">
      <c r="A203" s="6">
        <v>200</v>
      </c>
      <c r="B203" s="6" t="s">
        <v>20</v>
      </c>
      <c r="C203" s="5" t="s">
        <v>186</v>
      </c>
      <c r="D203" s="5" t="s">
        <v>188</v>
      </c>
      <c r="E203" s="12">
        <v>13800</v>
      </c>
      <c r="F203" s="16">
        <f t="shared" si="29"/>
        <v>6</v>
      </c>
      <c r="G203" s="17">
        <f t="shared" si="30"/>
        <v>8280</v>
      </c>
      <c r="H203" s="17">
        <f t="shared" si="31"/>
        <v>11040</v>
      </c>
      <c r="I203" s="17">
        <f t="shared" si="27"/>
        <v>20700</v>
      </c>
      <c r="J203" s="18">
        <f t="shared" si="28"/>
        <v>27600</v>
      </c>
    </row>
    <row r="204" spans="1:10" ht="20" customHeight="1" x14ac:dyDescent="0.35">
      <c r="A204" s="3">
        <v>201</v>
      </c>
      <c r="B204" s="3" t="s">
        <v>20</v>
      </c>
      <c r="C204" s="2" t="s">
        <v>186</v>
      </c>
      <c r="D204" s="2" t="s">
        <v>189</v>
      </c>
      <c r="E204" s="12">
        <v>23000</v>
      </c>
      <c r="F204" s="19">
        <f t="shared" si="29"/>
        <v>10</v>
      </c>
      <c r="G204" s="20">
        <f t="shared" si="30"/>
        <v>13800</v>
      </c>
      <c r="H204" s="20">
        <f t="shared" si="31"/>
        <v>18400</v>
      </c>
      <c r="I204" s="20">
        <f t="shared" si="27"/>
        <v>34500</v>
      </c>
      <c r="J204" s="18">
        <f t="shared" si="28"/>
        <v>46000</v>
      </c>
    </row>
    <row r="205" spans="1:10" ht="20" customHeight="1" x14ac:dyDescent="0.35">
      <c r="A205" s="6">
        <v>202</v>
      </c>
      <c r="B205" s="6" t="s">
        <v>20</v>
      </c>
      <c r="C205" s="5" t="s">
        <v>186</v>
      </c>
      <c r="D205" s="5" t="s">
        <v>190</v>
      </c>
      <c r="E205" s="12">
        <v>5750</v>
      </c>
      <c r="F205" s="16">
        <f t="shared" si="29"/>
        <v>2.5</v>
      </c>
      <c r="G205" s="17">
        <f t="shared" si="30"/>
        <v>3450</v>
      </c>
      <c r="H205" s="17">
        <f t="shared" si="31"/>
        <v>4600</v>
      </c>
      <c r="I205" s="17">
        <f t="shared" si="27"/>
        <v>8625</v>
      </c>
      <c r="J205" s="18">
        <f t="shared" si="28"/>
        <v>11500</v>
      </c>
    </row>
    <row r="206" spans="1:10" ht="20" customHeight="1" x14ac:dyDescent="0.35">
      <c r="A206" s="3">
        <v>203</v>
      </c>
      <c r="B206" s="3" t="s">
        <v>20</v>
      </c>
      <c r="C206" s="2" t="s">
        <v>186</v>
      </c>
      <c r="D206" s="2" t="s">
        <v>191</v>
      </c>
      <c r="E206" s="12">
        <v>27600</v>
      </c>
      <c r="F206" s="19">
        <f t="shared" si="29"/>
        <v>12</v>
      </c>
      <c r="G206" s="20">
        <f t="shared" si="30"/>
        <v>16560</v>
      </c>
      <c r="H206" s="20">
        <f t="shared" si="31"/>
        <v>22080</v>
      </c>
      <c r="I206" s="20">
        <f t="shared" si="27"/>
        <v>41400</v>
      </c>
      <c r="J206" s="18">
        <f t="shared" si="28"/>
        <v>55200</v>
      </c>
    </row>
    <row r="207" spans="1:10" ht="20" customHeight="1" x14ac:dyDescent="0.35">
      <c r="A207" s="6">
        <v>204</v>
      </c>
      <c r="B207" s="6" t="s">
        <v>20</v>
      </c>
      <c r="C207" s="5" t="s">
        <v>186</v>
      </c>
      <c r="D207" s="5" t="s">
        <v>192</v>
      </c>
      <c r="E207" s="12">
        <v>23000</v>
      </c>
      <c r="F207" s="16">
        <f t="shared" si="29"/>
        <v>10</v>
      </c>
      <c r="G207" s="17">
        <f t="shared" si="30"/>
        <v>13800</v>
      </c>
      <c r="H207" s="17">
        <f t="shared" si="31"/>
        <v>18400</v>
      </c>
      <c r="I207" s="17">
        <f t="shared" si="27"/>
        <v>34500</v>
      </c>
      <c r="J207" s="18">
        <f t="shared" si="28"/>
        <v>46000</v>
      </c>
    </row>
    <row r="208" spans="1:10" ht="20" customHeight="1" x14ac:dyDescent="0.35">
      <c r="A208" s="3">
        <v>205</v>
      </c>
      <c r="B208" s="3" t="s">
        <v>20</v>
      </c>
      <c r="C208" s="2" t="s">
        <v>193</v>
      </c>
      <c r="D208" s="2" t="s">
        <v>194</v>
      </c>
      <c r="E208" s="12">
        <v>41400</v>
      </c>
      <c r="F208" s="19">
        <f t="shared" si="29"/>
        <v>18</v>
      </c>
      <c r="G208" s="20">
        <f t="shared" si="30"/>
        <v>24840</v>
      </c>
      <c r="H208" s="20">
        <f t="shared" si="31"/>
        <v>33120</v>
      </c>
      <c r="I208" s="20">
        <f t="shared" si="27"/>
        <v>62100</v>
      </c>
      <c r="J208" s="18">
        <f t="shared" si="28"/>
        <v>82800</v>
      </c>
    </row>
    <row r="209" spans="1:10" ht="20" customHeight="1" x14ac:dyDescent="0.35">
      <c r="A209" s="6">
        <v>206</v>
      </c>
      <c r="B209" s="6" t="s">
        <v>20</v>
      </c>
      <c r="C209" s="5" t="s">
        <v>193</v>
      </c>
      <c r="D209" s="5" t="s">
        <v>195</v>
      </c>
      <c r="E209" s="12">
        <v>32200</v>
      </c>
      <c r="F209" s="16">
        <f t="shared" si="29"/>
        <v>14</v>
      </c>
      <c r="G209" s="17">
        <f t="shared" si="30"/>
        <v>19320</v>
      </c>
      <c r="H209" s="17">
        <f t="shared" si="31"/>
        <v>25760</v>
      </c>
      <c r="I209" s="17">
        <f t="shared" si="27"/>
        <v>48300</v>
      </c>
      <c r="J209" s="18">
        <f t="shared" si="28"/>
        <v>64400</v>
      </c>
    </row>
    <row r="210" spans="1:10" ht="20" customHeight="1" x14ac:dyDescent="0.35">
      <c r="A210" s="3">
        <v>207</v>
      </c>
      <c r="B210" s="3" t="s">
        <v>20</v>
      </c>
      <c r="C210" s="2" t="s">
        <v>196</v>
      </c>
      <c r="D210" s="2" t="s">
        <v>197</v>
      </c>
      <c r="E210" s="12">
        <v>23000</v>
      </c>
      <c r="F210" s="19">
        <f t="shared" si="29"/>
        <v>10</v>
      </c>
      <c r="G210" s="20">
        <f t="shared" si="30"/>
        <v>13800</v>
      </c>
      <c r="H210" s="20">
        <f t="shared" si="31"/>
        <v>18400</v>
      </c>
      <c r="I210" s="20">
        <f t="shared" si="27"/>
        <v>34500</v>
      </c>
      <c r="J210" s="18">
        <f t="shared" si="28"/>
        <v>46000</v>
      </c>
    </row>
    <row r="211" spans="1:10" ht="20" customHeight="1" x14ac:dyDescent="0.35">
      <c r="A211" s="6">
        <v>208</v>
      </c>
      <c r="B211" s="6" t="s">
        <v>20</v>
      </c>
      <c r="C211" s="5" t="s">
        <v>196</v>
      </c>
      <c r="D211" s="5" t="s">
        <v>198</v>
      </c>
      <c r="E211" s="12">
        <v>4600</v>
      </c>
      <c r="F211" s="16">
        <f t="shared" si="29"/>
        <v>2</v>
      </c>
      <c r="G211" s="17">
        <f t="shared" si="30"/>
        <v>2760</v>
      </c>
      <c r="H211" s="17">
        <f t="shared" si="31"/>
        <v>3680</v>
      </c>
      <c r="I211" s="17">
        <f t="shared" si="27"/>
        <v>6900</v>
      </c>
      <c r="J211" s="18">
        <f t="shared" si="28"/>
        <v>9200</v>
      </c>
    </row>
    <row r="212" spans="1:10" ht="20" customHeight="1" x14ac:dyDescent="0.35">
      <c r="A212" s="3">
        <v>209</v>
      </c>
      <c r="B212" s="3" t="s">
        <v>20</v>
      </c>
      <c r="C212" s="2" t="s">
        <v>196</v>
      </c>
      <c r="D212" s="2" t="s">
        <v>199</v>
      </c>
      <c r="E212" s="12">
        <v>2300</v>
      </c>
      <c r="F212" s="19">
        <f t="shared" si="29"/>
        <v>1</v>
      </c>
      <c r="G212" s="20">
        <f t="shared" si="30"/>
        <v>1380</v>
      </c>
      <c r="H212" s="20">
        <f t="shared" si="31"/>
        <v>1840</v>
      </c>
      <c r="I212" s="20">
        <f t="shared" si="27"/>
        <v>3450</v>
      </c>
      <c r="J212" s="18">
        <f t="shared" si="28"/>
        <v>4600</v>
      </c>
    </row>
    <row r="213" spans="1:10" ht="20" customHeight="1" x14ac:dyDescent="0.35">
      <c r="A213" s="6">
        <v>210</v>
      </c>
      <c r="B213" s="6" t="s">
        <v>20</v>
      </c>
      <c r="C213" s="5" t="s">
        <v>196</v>
      </c>
      <c r="D213" s="5" t="s">
        <v>200</v>
      </c>
      <c r="E213" s="12">
        <v>34500</v>
      </c>
      <c r="F213" s="16">
        <f t="shared" si="29"/>
        <v>15</v>
      </c>
      <c r="G213" s="17">
        <f t="shared" si="30"/>
        <v>20700</v>
      </c>
      <c r="H213" s="17">
        <f t="shared" si="31"/>
        <v>27600</v>
      </c>
      <c r="I213" s="17">
        <f t="shared" si="27"/>
        <v>51750</v>
      </c>
      <c r="J213" s="18">
        <f t="shared" si="28"/>
        <v>69000</v>
      </c>
    </row>
    <row r="214" spans="1:10" ht="20" customHeight="1" x14ac:dyDescent="0.35">
      <c r="A214" s="3">
        <v>211</v>
      </c>
      <c r="B214" s="3" t="s">
        <v>20</v>
      </c>
      <c r="C214" s="2" t="s">
        <v>201</v>
      </c>
      <c r="D214" s="2" t="s">
        <v>202</v>
      </c>
      <c r="E214" s="12">
        <v>3450</v>
      </c>
      <c r="F214" s="19">
        <f t="shared" si="29"/>
        <v>1.5</v>
      </c>
      <c r="G214" s="20">
        <f t="shared" si="30"/>
        <v>2070</v>
      </c>
      <c r="H214" s="20">
        <f t="shared" si="31"/>
        <v>2760</v>
      </c>
      <c r="I214" s="20">
        <f t="shared" si="27"/>
        <v>5175</v>
      </c>
      <c r="J214" s="18">
        <f t="shared" si="28"/>
        <v>6900</v>
      </c>
    </row>
    <row r="215" spans="1:10" ht="20" customHeight="1" x14ac:dyDescent="0.35">
      <c r="A215" s="6">
        <v>212</v>
      </c>
      <c r="B215" s="6" t="s">
        <v>20</v>
      </c>
      <c r="C215" s="5" t="s">
        <v>203</v>
      </c>
      <c r="D215" s="5" t="s">
        <v>204</v>
      </c>
      <c r="E215" s="12">
        <v>5750</v>
      </c>
      <c r="F215" s="16">
        <f t="shared" si="29"/>
        <v>2.5</v>
      </c>
      <c r="G215" s="17">
        <f t="shared" si="30"/>
        <v>3450</v>
      </c>
      <c r="H215" s="17">
        <f t="shared" si="31"/>
        <v>4600</v>
      </c>
      <c r="I215" s="17">
        <f t="shared" si="27"/>
        <v>8625</v>
      </c>
      <c r="J215" s="18">
        <f t="shared" si="28"/>
        <v>11500</v>
      </c>
    </row>
    <row r="216" spans="1:10" ht="20" customHeight="1" x14ac:dyDescent="0.35">
      <c r="A216" s="3">
        <v>213</v>
      </c>
      <c r="B216" s="3" t="s">
        <v>20</v>
      </c>
      <c r="C216" s="2" t="s">
        <v>203</v>
      </c>
      <c r="D216" s="2" t="s">
        <v>205</v>
      </c>
      <c r="E216" s="12">
        <v>8050</v>
      </c>
      <c r="F216" s="19">
        <f t="shared" si="29"/>
        <v>3.5</v>
      </c>
      <c r="G216" s="20">
        <f t="shared" si="30"/>
        <v>4830</v>
      </c>
      <c r="H216" s="20">
        <f t="shared" si="31"/>
        <v>6440</v>
      </c>
      <c r="I216" s="20">
        <f t="shared" si="27"/>
        <v>12075</v>
      </c>
      <c r="J216" s="18">
        <f t="shared" si="28"/>
        <v>16100</v>
      </c>
    </row>
    <row r="217" spans="1:10" ht="20" customHeight="1" x14ac:dyDescent="0.35">
      <c r="A217" s="6">
        <v>214</v>
      </c>
      <c r="B217" s="6" t="s">
        <v>20</v>
      </c>
      <c r="C217" s="5" t="s">
        <v>203</v>
      </c>
      <c r="D217" s="5" t="s">
        <v>206</v>
      </c>
      <c r="E217" s="12">
        <v>25300</v>
      </c>
      <c r="F217" s="16">
        <f t="shared" si="29"/>
        <v>11</v>
      </c>
      <c r="G217" s="17">
        <f t="shared" si="30"/>
        <v>15180</v>
      </c>
      <c r="H217" s="17">
        <f t="shared" si="31"/>
        <v>20240</v>
      </c>
      <c r="I217" s="17">
        <f t="shared" si="27"/>
        <v>37950</v>
      </c>
      <c r="J217" s="18">
        <f t="shared" si="28"/>
        <v>50600</v>
      </c>
    </row>
    <row r="218" spans="1:10" ht="20" customHeight="1" x14ac:dyDescent="0.35">
      <c r="A218" s="3">
        <v>215</v>
      </c>
      <c r="B218" s="3" t="s">
        <v>20</v>
      </c>
      <c r="C218" s="2" t="s">
        <v>207</v>
      </c>
      <c r="D218" s="2" t="s">
        <v>208</v>
      </c>
      <c r="E218" s="12">
        <v>13800</v>
      </c>
      <c r="F218" s="19">
        <f t="shared" si="29"/>
        <v>6</v>
      </c>
      <c r="G218" s="20">
        <f t="shared" si="30"/>
        <v>8280</v>
      </c>
      <c r="H218" s="20">
        <f t="shared" si="31"/>
        <v>11040</v>
      </c>
      <c r="I218" s="20">
        <f t="shared" si="27"/>
        <v>20700</v>
      </c>
      <c r="J218" s="18">
        <f t="shared" si="28"/>
        <v>27600</v>
      </c>
    </row>
    <row r="219" spans="1:10" ht="20" customHeight="1" x14ac:dyDescent="0.35">
      <c r="A219" s="6">
        <v>216</v>
      </c>
      <c r="B219" s="6" t="s">
        <v>20</v>
      </c>
      <c r="C219" s="5" t="s">
        <v>207</v>
      </c>
      <c r="D219" s="5" t="s">
        <v>209</v>
      </c>
      <c r="E219" s="12">
        <v>25300</v>
      </c>
      <c r="F219" s="16">
        <f t="shared" si="29"/>
        <v>11</v>
      </c>
      <c r="G219" s="17">
        <f t="shared" si="30"/>
        <v>15180</v>
      </c>
      <c r="H219" s="17">
        <f t="shared" si="31"/>
        <v>20240</v>
      </c>
      <c r="I219" s="17">
        <f t="shared" si="27"/>
        <v>37950</v>
      </c>
      <c r="J219" s="18">
        <f t="shared" si="28"/>
        <v>50600</v>
      </c>
    </row>
    <row r="220" spans="1:10" ht="20" customHeight="1" x14ac:dyDescent="0.35">
      <c r="A220" s="3">
        <v>217</v>
      </c>
      <c r="B220" s="3" t="s">
        <v>20</v>
      </c>
      <c r="C220" s="2" t="s">
        <v>207</v>
      </c>
      <c r="D220" s="2" t="s">
        <v>210</v>
      </c>
      <c r="E220" s="12">
        <v>5750</v>
      </c>
      <c r="F220" s="19">
        <f t="shared" si="29"/>
        <v>2.5</v>
      </c>
      <c r="G220" s="20">
        <f t="shared" si="30"/>
        <v>3450</v>
      </c>
      <c r="H220" s="20">
        <f t="shared" si="31"/>
        <v>4600</v>
      </c>
      <c r="I220" s="20">
        <f t="shared" si="27"/>
        <v>8625</v>
      </c>
      <c r="J220" s="18">
        <f t="shared" si="28"/>
        <v>11500</v>
      </c>
    </row>
    <row r="221" spans="1:10" ht="20" customHeight="1" x14ac:dyDescent="0.35">
      <c r="A221" s="6">
        <v>218</v>
      </c>
      <c r="B221" s="6" t="s">
        <v>20</v>
      </c>
      <c r="C221" s="5" t="s">
        <v>207</v>
      </c>
      <c r="D221" s="5" t="s">
        <v>211</v>
      </c>
      <c r="E221" s="12">
        <v>9200</v>
      </c>
      <c r="F221" s="16">
        <f t="shared" si="29"/>
        <v>4</v>
      </c>
      <c r="G221" s="17">
        <f t="shared" si="30"/>
        <v>5520</v>
      </c>
      <c r="H221" s="17">
        <f t="shared" si="31"/>
        <v>7360</v>
      </c>
      <c r="I221" s="17">
        <f t="shared" si="27"/>
        <v>13800</v>
      </c>
      <c r="J221" s="18">
        <f t="shared" si="28"/>
        <v>18400</v>
      </c>
    </row>
    <row r="222" spans="1:10" ht="20" customHeight="1" x14ac:dyDescent="0.35">
      <c r="A222" s="3">
        <v>219</v>
      </c>
      <c r="B222" s="3" t="s">
        <v>20</v>
      </c>
      <c r="C222" s="2" t="s">
        <v>212</v>
      </c>
      <c r="D222" s="2" t="s">
        <v>213</v>
      </c>
      <c r="E222" s="12">
        <v>2300</v>
      </c>
      <c r="F222" s="19">
        <f t="shared" si="29"/>
        <v>1</v>
      </c>
      <c r="G222" s="20">
        <f t="shared" si="30"/>
        <v>1380</v>
      </c>
      <c r="H222" s="20">
        <f t="shared" si="31"/>
        <v>1840</v>
      </c>
      <c r="I222" s="20">
        <f t="shared" si="27"/>
        <v>3450</v>
      </c>
      <c r="J222" s="18">
        <f t="shared" si="28"/>
        <v>4600</v>
      </c>
    </row>
    <row r="223" spans="1:10" ht="20" customHeight="1" x14ac:dyDescent="0.35">
      <c r="A223" s="6">
        <v>220</v>
      </c>
      <c r="B223" s="6" t="s">
        <v>20</v>
      </c>
      <c r="C223" s="5" t="s">
        <v>212</v>
      </c>
      <c r="D223" s="5" t="s">
        <v>214</v>
      </c>
      <c r="E223" s="12">
        <v>23000</v>
      </c>
      <c r="F223" s="16">
        <f t="shared" si="29"/>
        <v>10</v>
      </c>
      <c r="G223" s="17">
        <f t="shared" si="30"/>
        <v>13800</v>
      </c>
      <c r="H223" s="17">
        <f t="shared" si="31"/>
        <v>18400</v>
      </c>
      <c r="I223" s="17">
        <f t="shared" si="27"/>
        <v>34500</v>
      </c>
      <c r="J223" s="18">
        <f t="shared" si="28"/>
        <v>46000</v>
      </c>
    </row>
    <row r="224" spans="1:10" ht="20" customHeight="1" x14ac:dyDescent="0.35">
      <c r="A224" s="3">
        <v>221</v>
      </c>
      <c r="B224" s="3" t="s">
        <v>20</v>
      </c>
      <c r="C224" s="2" t="s">
        <v>212</v>
      </c>
      <c r="D224" s="2" t="s">
        <v>215</v>
      </c>
      <c r="E224" s="12">
        <v>8050</v>
      </c>
      <c r="F224" s="19">
        <f t="shared" si="29"/>
        <v>3.5</v>
      </c>
      <c r="G224" s="20">
        <f t="shared" si="30"/>
        <v>4830</v>
      </c>
      <c r="H224" s="20">
        <f t="shared" si="31"/>
        <v>6440</v>
      </c>
      <c r="I224" s="20">
        <f t="shared" si="27"/>
        <v>12075</v>
      </c>
      <c r="J224" s="18">
        <f t="shared" si="28"/>
        <v>16100</v>
      </c>
    </row>
    <row r="225" spans="1:10" ht="20" customHeight="1" x14ac:dyDescent="0.35">
      <c r="A225" s="6">
        <v>222</v>
      </c>
      <c r="B225" s="6" t="s">
        <v>20</v>
      </c>
      <c r="C225" s="5" t="s">
        <v>212</v>
      </c>
      <c r="D225" s="5" t="s">
        <v>216</v>
      </c>
      <c r="E225" s="12">
        <v>2760</v>
      </c>
      <c r="F225" s="16">
        <f t="shared" si="29"/>
        <v>1.2</v>
      </c>
      <c r="G225" s="17">
        <f t="shared" si="30"/>
        <v>1656</v>
      </c>
      <c r="H225" s="17">
        <f t="shared" si="31"/>
        <v>2208</v>
      </c>
      <c r="I225" s="17">
        <f t="shared" si="27"/>
        <v>4140</v>
      </c>
      <c r="J225" s="18">
        <f t="shared" si="28"/>
        <v>5520</v>
      </c>
    </row>
    <row r="226" spans="1:10" ht="20" customHeight="1" x14ac:dyDescent="0.35">
      <c r="A226" s="3">
        <v>223</v>
      </c>
      <c r="B226" s="3" t="s">
        <v>20</v>
      </c>
      <c r="C226" s="2" t="s">
        <v>212</v>
      </c>
      <c r="D226" s="2" t="s">
        <v>217</v>
      </c>
      <c r="E226" s="12">
        <v>11500</v>
      </c>
      <c r="F226" s="19">
        <f t="shared" si="29"/>
        <v>5</v>
      </c>
      <c r="G226" s="20">
        <f t="shared" si="30"/>
        <v>6900</v>
      </c>
      <c r="H226" s="20">
        <f t="shared" si="31"/>
        <v>9200</v>
      </c>
      <c r="I226" s="20">
        <f t="shared" si="27"/>
        <v>17250</v>
      </c>
      <c r="J226" s="18">
        <f t="shared" si="28"/>
        <v>23000</v>
      </c>
    </row>
    <row r="227" spans="1:10" ht="20" customHeight="1" x14ac:dyDescent="0.35">
      <c r="A227" s="10">
        <v>224</v>
      </c>
      <c r="B227" s="10" t="s">
        <v>22</v>
      </c>
      <c r="C227" s="11" t="s">
        <v>218</v>
      </c>
      <c r="D227" s="11" t="s">
        <v>219</v>
      </c>
      <c r="E227" s="12">
        <v>45000</v>
      </c>
      <c r="F227" s="13">
        <f t="shared" si="29"/>
        <v>19.57</v>
      </c>
      <c r="G227" s="14">
        <f t="shared" si="30"/>
        <v>27000</v>
      </c>
      <c r="H227" s="14">
        <f t="shared" si="31"/>
        <v>36000</v>
      </c>
      <c r="I227" s="15">
        <f t="shared" ref="I227:I272" si="32">ROUND($E227*1.2,0)</f>
        <v>54000</v>
      </c>
      <c r="J227" s="15">
        <f t="shared" ref="J227:J272" si="33">ROUND($E227*1.4,0)</f>
        <v>63000</v>
      </c>
    </row>
    <row r="228" spans="1:10" ht="20" customHeight="1" x14ac:dyDescent="0.35">
      <c r="A228" s="10">
        <v>225</v>
      </c>
      <c r="B228" s="10" t="s">
        <v>22</v>
      </c>
      <c r="C228" s="11" t="s">
        <v>218</v>
      </c>
      <c r="D228" s="11" t="s">
        <v>220</v>
      </c>
      <c r="E228" s="12">
        <v>70000</v>
      </c>
      <c r="F228" s="13">
        <f t="shared" si="29"/>
        <v>30.43</v>
      </c>
      <c r="G228" s="14">
        <f t="shared" si="30"/>
        <v>42000</v>
      </c>
      <c r="H228" s="14">
        <f t="shared" si="31"/>
        <v>56000</v>
      </c>
      <c r="I228" s="15">
        <f t="shared" si="32"/>
        <v>84000</v>
      </c>
      <c r="J228" s="15">
        <f t="shared" si="33"/>
        <v>98000</v>
      </c>
    </row>
    <row r="229" spans="1:10" ht="20" customHeight="1" x14ac:dyDescent="0.35">
      <c r="A229" s="10">
        <v>226</v>
      </c>
      <c r="B229" s="10" t="s">
        <v>22</v>
      </c>
      <c r="C229" s="11" t="s">
        <v>218</v>
      </c>
      <c r="D229" s="11" t="s">
        <v>221</v>
      </c>
      <c r="E229" s="12">
        <v>50000</v>
      </c>
      <c r="F229" s="13">
        <f t="shared" si="29"/>
        <v>21.74</v>
      </c>
      <c r="G229" s="14">
        <f t="shared" si="30"/>
        <v>30000</v>
      </c>
      <c r="H229" s="14">
        <f t="shared" si="31"/>
        <v>40000</v>
      </c>
      <c r="I229" s="15">
        <f t="shared" si="32"/>
        <v>60000</v>
      </c>
      <c r="J229" s="15">
        <f t="shared" si="33"/>
        <v>70000</v>
      </c>
    </row>
    <row r="230" spans="1:10" ht="20" customHeight="1" x14ac:dyDescent="0.35">
      <c r="A230" s="10">
        <v>227</v>
      </c>
      <c r="B230" s="10" t="s">
        <v>22</v>
      </c>
      <c r="C230" s="11" t="s">
        <v>218</v>
      </c>
      <c r="D230" s="11" t="s">
        <v>222</v>
      </c>
      <c r="E230" s="12">
        <v>60000</v>
      </c>
      <c r="F230" s="13">
        <f t="shared" si="29"/>
        <v>26.09</v>
      </c>
      <c r="G230" s="14">
        <f t="shared" si="30"/>
        <v>36000</v>
      </c>
      <c r="H230" s="14">
        <f t="shared" si="31"/>
        <v>48000</v>
      </c>
      <c r="I230" s="15">
        <f t="shared" si="32"/>
        <v>72000</v>
      </c>
      <c r="J230" s="15">
        <f t="shared" si="33"/>
        <v>84000</v>
      </c>
    </row>
    <row r="231" spans="1:10" ht="20" customHeight="1" x14ac:dyDescent="0.35">
      <c r="A231" s="10">
        <v>228</v>
      </c>
      <c r="B231" s="10" t="s">
        <v>22</v>
      </c>
      <c r="C231" s="11" t="s">
        <v>218</v>
      </c>
      <c r="D231" s="11" t="s">
        <v>223</v>
      </c>
      <c r="E231" s="12">
        <v>60000</v>
      </c>
      <c r="F231" s="13">
        <f t="shared" si="29"/>
        <v>26.09</v>
      </c>
      <c r="G231" s="14">
        <f t="shared" si="30"/>
        <v>36000</v>
      </c>
      <c r="H231" s="14">
        <f t="shared" si="31"/>
        <v>48000</v>
      </c>
      <c r="I231" s="15">
        <f t="shared" si="32"/>
        <v>72000</v>
      </c>
      <c r="J231" s="15">
        <f t="shared" si="33"/>
        <v>84000</v>
      </c>
    </row>
    <row r="232" spans="1:10" ht="20" customHeight="1" x14ac:dyDescent="0.35">
      <c r="A232" s="10">
        <v>229</v>
      </c>
      <c r="B232" s="10" t="s">
        <v>22</v>
      </c>
      <c r="C232" s="11" t="s">
        <v>218</v>
      </c>
      <c r="D232" s="11" t="s">
        <v>224</v>
      </c>
      <c r="E232" s="12">
        <v>100000</v>
      </c>
      <c r="F232" s="13">
        <f t="shared" si="29"/>
        <v>43.48</v>
      </c>
      <c r="G232" s="14">
        <f t="shared" si="30"/>
        <v>60000</v>
      </c>
      <c r="H232" s="14">
        <f t="shared" si="31"/>
        <v>80000</v>
      </c>
      <c r="I232" s="15">
        <f t="shared" si="32"/>
        <v>120000</v>
      </c>
      <c r="J232" s="15">
        <f t="shared" si="33"/>
        <v>140000</v>
      </c>
    </row>
    <row r="233" spans="1:10" ht="20" customHeight="1" x14ac:dyDescent="0.35">
      <c r="A233" s="10">
        <v>230</v>
      </c>
      <c r="B233" s="10" t="s">
        <v>22</v>
      </c>
      <c r="C233" s="11" t="s">
        <v>218</v>
      </c>
      <c r="D233" s="11" t="s">
        <v>225</v>
      </c>
      <c r="E233" s="12">
        <v>170000</v>
      </c>
      <c r="F233" s="13">
        <f t="shared" si="29"/>
        <v>73.91</v>
      </c>
      <c r="G233" s="14">
        <f t="shared" si="30"/>
        <v>102000</v>
      </c>
      <c r="H233" s="14">
        <f t="shared" si="31"/>
        <v>136000</v>
      </c>
      <c r="I233" s="15">
        <f t="shared" si="32"/>
        <v>204000</v>
      </c>
      <c r="J233" s="15">
        <f t="shared" si="33"/>
        <v>238000</v>
      </c>
    </row>
    <row r="234" spans="1:10" ht="20" customHeight="1" x14ac:dyDescent="0.35">
      <c r="A234" s="10">
        <v>231</v>
      </c>
      <c r="B234" s="10" t="s">
        <v>22</v>
      </c>
      <c r="C234" s="11" t="s">
        <v>218</v>
      </c>
      <c r="D234" s="11" t="s">
        <v>226</v>
      </c>
      <c r="E234" s="12">
        <v>50000</v>
      </c>
      <c r="F234" s="13">
        <f t="shared" si="29"/>
        <v>21.74</v>
      </c>
      <c r="G234" s="14">
        <f t="shared" si="30"/>
        <v>30000</v>
      </c>
      <c r="H234" s="14">
        <f t="shared" si="31"/>
        <v>40000</v>
      </c>
      <c r="I234" s="15">
        <f t="shared" si="32"/>
        <v>60000</v>
      </c>
      <c r="J234" s="15">
        <f t="shared" si="33"/>
        <v>70000</v>
      </c>
    </row>
    <row r="235" spans="1:10" ht="20" customHeight="1" x14ac:dyDescent="0.35">
      <c r="A235" s="10">
        <v>232</v>
      </c>
      <c r="B235" s="10" t="s">
        <v>22</v>
      </c>
      <c r="C235" s="11" t="s">
        <v>218</v>
      </c>
      <c r="D235" s="11" t="s">
        <v>227</v>
      </c>
      <c r="E235" s="12">
        <v>60000</v>
      </c>
      <c r="F235" s="13">
        <f t="shared" si="29"/>
        <v>26.09</v>
      </c>
      <c r="G235" s="14">
        <f t="shared" si="30"/>
        <v>36000</v>
      </c>
      <c r="H235" s="14">
        <f t="shared" si="31"/>
        <v>48000</v>
      </c>
      <c r="I235" s="15">
        <f t="shared" si="32"/>
        <v>72000</v>
      </c>
      <c r="J235" s="15">
        <f t="shared" si="33"/>
        <v>84000</v>
      </c>
    </row>
    <row r="236" spans="1:10" ht="20" customHeight="1" x14ac:dyDescent="0.35">
      <c r="A236" s="10">
        <v>233</v>
      </c>
      <c r="B236" s="10" t="s">
        <v>22</v>
      </c>
      <c r="C236" s="11" t="s">
        <v>218</v>
      </c>
      <c r="D236" s="11" t="s">
        <v>228</v>
      </c>
      <c r="E236" s="12">
        <v>40000</v>
      </c>
      <c r="F236" s="13">
        <f t="shared" si="29"/>
        <v>17.39</v>
      </c>
      <c r="G236" s="14">
        <f t="shared" si="30"/>
        <v>24000</v>
      </c>
      <c r="H236" s="14">
        <f t="shared" si="31"/>
        <v>32000</v>
      </c>
      <c r="I236" s="15">
        <f t="shared" si="32"/>
        <v>48000</v>
      </c>
      <c r="J236" s="15">
        <f t="shared" si="33"/>
        <v>56000</v>
      </c>
    </row>
    <row r="237" spans="1:10" ht="20" customHeight="1" x14ac:dyDescent="0.35">
      <c r="A237" s="10">
        <v>234</v>
      </c>
      <c r="B237" s="10" t="s">
        <v>22</v>
      </c>
      <c r="C237" s="11" t="s">
        <v>218</v>
      </c>
      <c r="D237" s="11" t="s">
        <v>229</v>
      </c>
      <c r="E237" s="12">
        <v>60000</v>
      </c>
      <c r="F237" s="13">
        <f t="shared" si="29"/>
        <v>26.09</v>
      </c>
      <c r="G237" s="14">
        <f t="shared" si="30"/>
        <v>36000</v>
      </c>
      <c r="H237" s="14">
        <f t="shared" si="31"/>
        <v>48000</v>
      </c>
      <c r="I237" s="15">
        <f t="shared" si="32"/>
        <v>72000</v>
      </c>
      <c r="J237" s="15">
        <f t="shared" si="33"/>
        <v>84000</v>
      </c>
    </row>
    <row r="238" spans="1:10" ht="20" customHeight="1" x14ac:dyDescent="0.35">
      <c r="A238" s="10">
        <v>235</v>
      </c>
      <c r="B238" s="10" t="s">
        <v>22</v>
      </c>
      <c r="C238" s="11" t="s">
        <v>218</v>
      </c>
      <c r="D238" s="11" t="s">
        <v>230</v>
      </c>
      <c r="E238" s="12">
        <v>40000</v>
      </c>
      <c r="F238" s="13">
        <f t="shared" si="29"/>
        <v>17.39</v>
      </c>
      <c r="G238" s="14">
        <f t="shared" si="30"/>
        <v>24000</v>
      </c>
      <c r="H238" s="14">
        <f t="shared" si="31"/>
        <v>32000</v>
      </c>
      <c r="I238" s="15">
        <f t="shared" si="32"/>
        <v>48000</v>
      </c>
      <c r="J238" s="15">
        <f t="shared" si="33"/>
        <v>56000</v>
      </c>
    </row>
    <row r="239" spans="1:10" ht="20" customHeight="1" x14ac:dyDescent="0.35">
      <c r="A239" s="10">
        <v>236</v>
      </c>
      <c r="B239" s="10" t="s">
        <v>22</v>
      </c>
      <c r="C239" s="11" t="s">
        <v>218</v>
      </c>
      <c r="D239" s="11" t="s">
        <v>231</v>
      </c>
      <c r="E239" s="12">
        <v>50000</v>
      </c>
      <c r="F239" s="13">
        <f t="shared" si="29"/>
        <v>21.74</v>
      </c>
      <c r="G239" s="14">
        <f t="shared" si="30"/>
        <v>30000</v>
      </c>
      <c r="H239" s="14">
        <f t="shared" si="31"/>
        <v>40000</v>
      </c>
      <c r="I239" s="15">
        <f t="shared" si="32"/>
        <v>60000</v>
      </c>
      <c r="J239" s="15">
        <f t="shared" si="33"/>
        <v>70000</v>
      </c>
    </row>
    <row r="240" spans="1:10" ht="20" customHeight="1" x14ac:dyDescent="0.35">
      <c r="A240" s="10">
        <v>237</v>
      </c>
      <c r="B240" s="10" t="s">
        <v>22</v>
      </c>
      <c r="C240" s="11" t="s">
        <v>218</v>
      </c>
      <c r="D240" s="11" t="s">
        <v>232</v>
      </c>
      <c r="E240" s="12">
        <v>50000</v>
      </c>
      <c r="F240" s="13">
        <f t="shared" si="29"/>
        <v>21.74</v>
      </c>
      <c r="G240" s="14">
        <f t="shared" si="30"/>
        <v>30000</v>
      </c>
      <c r="H240" s="14">
        <f t="shared" si="31"/>
        <v>40000</v>
      </c>
      <c r="I240" s="15">
        <f t="shared" si="32"/>
        <v>60000</v>
      </c>
      <c r="J240" s="15">
        <f t="shared" si="33"/>
        <v>70000</v>
      </c>
    </row>
    <row r="241" spans="1:10" ht="20" customHeight="1" x14ac:dyDescent="0.35">
      <c r="A241" s="10">
        <v>238</v>
      </c>
      <c r="B241" s="10" t="s">
        <v>22</v>
      </c>
      <c r="C241" s="11" t="s">
        <v>218</v>
      </c>
      <c r="D241" s="11" t="s">
        <v>233</v>
      </c>
      <c r="E241" s="12">
        <v>60000</v>
      </c>
      <c r="F241" s="13">
        <f t="shared" si="29"/>
        <v>26.09</v>
      </c>
      <c r="G241" s="14">
        <f t="shared" si="30"/>
        <v>36000</v>
      </c>
      <c r="H241" s="14">
        <f t="shared" si="31"/>
        <v>48000</v>
      </c>
      <c r="I241" s="15">
        <f t="shared" si="32"/>
        <v>72000</v>
      </c>
      <c r="J241" s="15">
        <f t="shared" si="33"/>
        <v>84000</v>
      </c>
    </row>
    <row r="242" spans="1:10" ht="20" customHeight="1" x14ac:dyDescent="0.35">
      <c r="A242" s="10">
        <v>239</v>
      </c>
      <c r="B242" s="10" t="s">
        <v>22</v>
      </c>
      <c r="C242" s="11" t="s">
        <v>234</v>
      </c>
      <c r="D242" s="11" t="s">
        <v>235</v>
      </c>
      <c r="E242" s="12">
        <v>65000</v>
      </c>
      <c r="F242" s="13">
        <f t="shared" si="29"/>
        <v>28.26</v>
      </c>
      <c r="G242" s="14">
        <f t="shared" si="30"/>
        <v>39000</v>
      </c>
      <c r="H242" s="14">
        <f t="shared" si="31"/>
        <v>52000</v>
      </c>
      <c r="I242" s="15">
        <f t="shared" si="32"/>
        <v>78000</v>
      </c>
      <c r="J242" s="15">
        <f t="shared" si="33"/>
        <v>91000</v>
      </c>
    </row>
    <row r="243" spans="1:10" ht="20" customHeight="1" x14ac:dyDescent="0.35">
      <c r="A243" s="10">
        <v>240</v>
      </c>
      <c r="B243" s="10" t="s">
        <v>22</v>
      </c>
      <c r="C243" s="11" t="s">
        <v>234</v>
      </c>
      <c r="D243" s="11" t="s">
        <v>236</v>
      </c>
      <c r="E243" s="12">
        <v>70000</v>
      </c>
      <c r="F243" s="13">
        <f t="shared" si="29"/>
        <v>30.43</v>
      </c>
      <c r="G243" s="14">
        <f t="shared" si="30"/>
        <v>42000</v>
      </c>
      <c r="H243" s="14">
        <f t="shared" si="31"/>
        <v>56000</v>
      </c>
      <c r="I243" s="15">
        <f t="shared" si="32"/>
        <v>84000</v>
      </c>
      <c r="J243" s="15">
        <f t="shared" si="33"/>
        <v>98000</v>
      </c>
    </row>
    <row r="244" spans="1:10" ht="20" customHeight="1" x14ac:dyDescent="0.35">
      <c r="A244" s="10">
        <v>241</v>
      </c>
      <c r="B244" s="10" t="s">
        <v>22</v>
      </c>
      <c r="C244" s="11" t="s">
        <v>234</v>
      </c>
      <c r="D244" s="11" t="s">
        <v>237</v>
      </c>
      <c r="E244" s="12">
        <v>60000</v>
      </c>
      <c r="F244" s="13">
        <f t="shared" si="29"/>
        <v>26.09</v>
      </c>
      <c r="G244" s="14">
        <f t="shared" si="30"/>
        <v>36000</v>
      </c>
      <c r="H244" s="14">
        <f t="shared" si="31"/>
        <v>48000</v>
      </c>
      <c r="I244" s="15">
        <f t="shared" si="32"/>
        <v>72000</v>
      </c>
      <c r="J244" s="15">
        <f t="shared" si="33"/>
        <v>84000</v>
      </c>
    </row>
    <row r="245" spans="1:10" ht="20" customHeight="1" x14ac:dyDescent="0.35">
      <c r="A245" s="10">
        <v>242</v>
      </c>
      <c r="B245" s="10" t="s">
        <v>22</v>
      </c>
      <c r="C245" s="11" t="s">
        <v>234</v>
      </c>
      <c r="D245" s="11" t="s">
        <v>238</v>
      </c>
      <c r="E245" s="12">
        <v>70000</v>
      </c>
      <c r="F245" s="13">
        <f t="shared" si="29"/>
        <v>30.43</v>
      </c>
      <c r="G245" s="14">
        <f t="shared" si="30"/>
        <v>42000</v>
      </c>
      <c r="H245" s="14">
        <f t="shared" si="31"/>
        <v>56000</v>
      </c>
      <c r="I245" s="15">
        <f t="shared" si="32"/>
        <v>84000</v>
      </c>
      <c r="J245" s="15">
        <f t="shared" si="33"/>
        <v>98000</v>
      </c>
    </row>
    <row r="246" spans="1:10" ht="20" customHeight="1" x14ac:dyDescent="0.35">
      <c r="A246" s="10">
        <v>243</v>
      </c>
      <c r="B246" s="10" t="s">
        <v>22</v>
      </c>
      <c r="C246" s="11" t="s">
        <v>234</v>
      </c>
      <c r="D246" s="11" t="s">
        <v>239</v>
      </c>
      <c r="E246" s="12">
        <v>70000</v>
      </c>
      <c r="F246" s="13">
        <f t="shared" si="29"/>
        <v>30.43</v>
      </c>
      <c r="G246" s="14">
        <f t="shared" si="30"/>
        <v>42000</v>
      </c>
      <c r="H246" s="14">
        <f t="shared" si="31"/>
        <v>56000</v>
      </c>
      <c r="I246" s="15">
        <f t="shared" si="32"/>
        <v>84000</v>
      </c>
      <c r="J246" s="15">
        <f t="shared" si="33"/>
        <v>98000</v>
      </c>
    </row>
    <row r="247" spans="1:10" ht="20" customHeight="1" x14ac:dyDescent="0.35">
      <c r="A247" s="10">
        <v>244</v>
      </c>
      <c r="B247" s="10" t="s">
        <v>22</v>
      </c>
      <c r="C247" s="11" t="s">
        <v>234</v>
      </c>
      <c r="D247" s="11" t="s">
        <v>240</v>
      </c>
      <c r="E247" s="12">
        <v>60000</v>
      </c>
      <c r="F247" s="13">
        <f t="shared" si="29"/>
        <v>26.09</v>
      </c>
      <c r="G247" s="14">
        <f t="shared" si="30"/>
        <v>36000</v>
      </c>
      <c r="H247" s="14">
        <f t="shared" si="31"/>
        <v>48000</v>
      </c>
      <c r="I247" s="15">
        <f t="shared" si="32"/>
        <v>72000</v>
      </c>
      <c r="J247" s="15">
        <f t="shared" si="33"/>
        <v>84000</v>
      </c>
    </row>
    <row r="248" spans="1:10" ht="20" customHeight="1" x14ac:dyDescent="0.35">
      <c r="A248" s="10">
        <v>245</v>
      </c>
      <c r="B248" s="10" t="s">
        <v>22</v>
      </c>
      <c r="C248" s="11" t="s">
        <v>234</v>
      </c>
      <c r="D248" s="11" t="s">
        <v>241</v>
      </c>
      <c r="E248" s="12">
        <v>60000</v>
      </c>
      <c r="F248" s="13">
        <f t="shared" si="29"/>
        <v>26.09</v>
      </c>
      <c r="G248" s="14">
        <f t="shared" si="30"/>
        <v>36000</v>
      </c>
      <c r="H248" s="14">
        <f t="shared" si="31"/>
        <v>48000</v>
      </c>
      <c r="I248" s="15">
        <f t="shared" si="32"/>
        <v>72000</v>
      </c>
      <c r="J248" s="15">
        <f t="shared" si="33"/>
        <v>84000</v>
      </c>
    </row>
    <row r="249" spans="1:10" ht="20" customHeight="1" x14ac:dyDescent="0.35">
      <c r="A249" s="10">
        <v>246</v>
      </c>
      <c r="B249" s="10" t="s">
        <v>22</v>
      </c>
      <c r="C249" s="11" t="s">
        <v>234</v>
      </c>
      <c r="D249" s="11" t="s">
        <v>242</v>
      </c>
      <c r="E249" s="12">
        <v>65000</v>
      </c>
      <c r="F249" s="13">
        <f t="shared" si="29"/>
        <v>28.26</v>
      </c>
      <c r="G249" s="14">
        <f t="shared" si="30"/>
        <v>39000</v>
      </c>
      <c r="H249" s="14">
        <f t="shared" si="31"/>
        <v>52000</v>
      </c>
      <c r="I249" s="15">
        <f t="shared" si="32"/>
        <v>78000</v>
      </c>
      <c r="J249" s="15">
        <f t="shared" si="33"/>
        <v>91000</v>
      </c>
    </row>
    <row r="250" spans="1:10" ht="20" customHeight="1" x14ac:dyDescent="0.35">
      <c r="A250" s="10">
        <v>247</v>
      </c>
      <c r="B250" s="10" t="s">
        <v>22</v>
      </c>
      <c r="C250" s="11" t="s">
        <v>234</v>
      </c>
      <c r="D250" s="11" t="s">
        <v>243</v>
      </c>
      <c r="E250" s="12">
        <v>110000</v>
      </c>
      <c r="F250" s="13">
        <f t="shared" si="29"/>
        <v>47.83</v>
      </c>
      <c r="G250" s="14">
        <f t="shared" si="30"/>
        <v>66000</v>
      </c>
      <c r="H250" s="14">
        <f t="shared" si="31"/>
        <v>88000</v>
      </c>
      <c r="I250" s="15">
        <f t="shared" si="32"/>
        <v>132000</v>
      </c>
      <c r="J250" s="15">
        <f t="shared" si="33"/>
        <v>154000</v>
      </c>
    </row>
    <row r="251" spans="1:10" ht="20" customHeight="1" x14ac:dyDescent="0.35">
      <c r="A251" s="10">
        <v>248</v>
      </c>
      <c r="B251" s="10" t="s">
        <v>22</v>
      </c>
      <c r="C251" s="11" t="s">
        <v>234</v>
      </c>
      <c r="D251" s="11" t="s">
        <v>244</v>
      </c>
      <c r="E251" s="12">
        <v>65000</v>
      </c>
      <c r="F251" s="13">
        <f t="shared" si="29"/>
        <v>28.26</v>
      </c>
      <c r="G251" s="14">
        <f t="shared" si="30"/>
        <v>39000</v>
      </c>
      <c r="H251" s="14">
        <f t="shared" si="31"/>
        <v>52000</v>
      </c>
      <c r="I251" s="15">
        <f t="shared" si="32"/>
        <v>78000</v>
      </c>
      <c r="J251" s="15">
        <f t="shared" si="33"/>
        <v>91000</v>
      </c>
    </row>
    <row r="252" spans="1:10" ht="20" customHeight="1" x14ac:dyDescent="0.35">
      <c r="A252" s="10">
        <v>249</v>
      </c>
      <c r="B252" s="10" t="s">
        <v>22</v>
      </c>
      <c r="C252" s="11" t="s">
        <v>234</v>
      </c>
      <c r="D252" s="11" t="s">
        <v>245</v>
      </c>
      <c r="E252" s="12">
        <v>110000</v>
      </c>
      <c r="F252" s="13">
        <f t="shared" si="29"/>
        <v>47.83</v>
      </c>
      <c r="G252" s="14">
        <f t="shared" si="30"/>
        <v>66000</v>
      </c>
      <c r="H252" s="14">
        <f t="shared" si="31"/>
        <v>88000</v>
      </c>
      <c r="I252" s="15">
        <f t="shared" si="32"/>
        <v>132000</v>
      </c>
      <c r="J252" s="15">
        <f t="shared" si="33"/>
        <v>154000</v>
      </c>
    </row>
    <row r="253" spans="1:10" ht="20" customHeight="1" x14ac:dyDescent="0.35">
      <c r="A253" s="10">
        <v>250</v>
      </c>
      <c r="B253" s="10" t="s">
        <v>22</v>
      </c>
      <c r="C253" s="11" t="s">
        <v>234</v>
      </c>
      <c r="D253" s="11" t="s">
        <v>246</v>
      </c>
      <c r="E253" s="12">
        <v>65000</v>
      </c>
      <c r="F253" s="13">
        <f t="shared" si="29"/>
        <v>28.26</v>
      </c>
      <c r="G253" s="14">
        <f t="shared" si="30"/>
        <v>39000</v>
      </c>
      <c r="H253" s="14">
        <f t="shared" si="31"/>
        <v>52000</v>
      </c>
      <c r="I253" s="15">
        <f t="shared" si="32"/>
        <v>78000</v>
      </c>
      <c r="J253" s="15">
        <f t="shared" si="33"/>
        <v>91000</v>
      </c>
    </row>
    <row r="254" spans="1:10" ht="20" customHeight="1" x14ac:dyDescent="0.35">
      <c r="A254" s="10">
        <v>251</v>
      </c>
      <c r="B254" s="10" t="s">
        <v>22</v>
      </c>
      <c r="C254" s="11" t="s">
        <v>234</v>
      </c>
      <c r="D254" s="11" t="s">
        <v>247</v>
      </c>
      <c r="E254" s="12">
        <v>60000</v>
      </c>
      <c r="F254" s="13">
        <f t="shared" si="29"/>
        <v>26.09</v>
      </c>
      <c r="G254" s="14">
        <f t="shared" si="30"/>
        <v>36000</v>
      </c>
      <c r="H254" s="14">
        <f t="shared" si="31"/>
        <v>48000</v>
      </c>
      <c r="I254" s="15">
        <f t="shared" si="32"/>
        <v>72000</v>
      </c>
      <c r="J254" s="15">
        <f t="shared" si="33"/>
        <v>84000</v>
      </c>
    </row>
    <row r="255" spans="1:10" ht="20" customHeight="1" x14ac:dyDescent="0.35">
      <c r="A255" s="10">
        <v>252</v>
      </c>
      <c r="B255" s="10" t="s">
        <v>22</v>
      </c>
      <c r="C255" s="11" t="s">
        <v>234</v>
      </c>
      <c r="D255" s="11" t="s">
        <v>248</v>
      </c>
      <c r="E255" s="12">
        <v>60000</v>
      </c>
      <c r="F255" s="13">
        <f t="shared" si="29"/>
        <v>26.09</v>
      </c>
      <c r="G255" s="14">
        <f t="shared" si="30"/>
        <v>36000</v>
      </c>
      <c r="H255" s="14">
        <f t="shared" si="31"/>
        <v>48000</v>
      </c>
      <c r="I255" s="15">
        <f t="shared" si="32"/>
        <v>72000</v>
      </c>
      <c r="J255" s="15">
        <f t="shared" si="33"/>
        <v>84000</v>
      </c>
    </row>
    <row r="256" spans="1:10" ht="20" customHeight="1" x14ac:dyDescent="0.35">
      <c r="A256" s="10">
        <v>253</v>
      </c>
      <c r="B256" s="10" t="s">
        <v>22</v>
      </c>
      <c r="C256" s="11" t="s">
        <v>234</v>
      </c>
      <c r="D256" s="11" t="s">
        <v>249</v>
      </c>
      <c r="E256" s="12">
        <v>60000</v>
      </c>
      <c r="F256" s="13">
        <f t="shared" si="29"/>
        <v>26.09</v>
      </c>
      <c r="G256" s="14">
        <f t="shared" si="30"/>
        <v>36000</v>
      </c>
      <c r="H256" s="14">
        <f t="shared" si="31"/>
        <v>48000</v>
      </c>
      <c r="I256" s="15">
        <f t="shared" si="32"/>
        <v>72000</v>
      </c>
      <c r="J256" s="15">
        <f t="shared" si="33"/>
        <v>84000</v>
      </c>
    </row>
    <row r="257" spans="1:10" ht="20" customHeight="1" x14ac:dyDescent="0.35">
      <c r="A257" s="10">
        <v>254</v>
      </c>
      <c r="B257" s="10" t="s">
        <v>22</v>
      </c>
      <c r="C257" s="11" t="s">
        <v>234</v>
      </c>
      <c r="D257" s="11" t="s">
        <v>250</v>
      </c>
      <c r="E257" s="12">
        <v>60000</v>
      </c>
      <c r="F257" s="13">
        <f t="shared" si="29"/>
        <v>26.09</v>
      </c>
      <c r="G257" s="14">
        <f t="shared" si="30"/>
        <v>36000</v>
      </c>
      <c r="H257" s="14">
        <f t="shared" si="31"/>
        <v>48000</v>
      </c>
      <c r="I257" s="15">
        <f t="shared" si="32"/>
        <v>72000</v>
      </c>
      <c r="J257" s="15">
        <f t="shared" si="33"/>
        <v>84000</v>
      </c>
    </row>
    <row r="258" spans="1:10" ht="20" customHeight="1" x14ac:dyDescent="0.35">
      <c r="A258" s="10">
        <v>255</v>
      </c>
      <c r="B258" s="10" t="s">
        <v>22</v>
      </c>
      <c r="C258" s="11" t="s">
        <v>234</v>
      </c>
      <c r="D258" s="11" t="s">
        <v>251</v>
      </c>
      <c r="E258" s="12">
        <v>65000</v>
      </c>
      <c r="F258" s="13">
        <f t="shared" si="29"/>
        <v>28.26</v>
      </c>
      <c r="G258" s="14">
        <f t="shared" si="30"/>
        <v>39000</v>
      </c>
      <c r="H258" s="14">
        <f t="shared" si="31"/>
        <v>52000</v>
      </c>
      <c r="I258" s="15">
        <f t="shared" si="32"/>
        <v>78000</v>
      </c>
      <c r="J258" s="15">
        <f t="shared" si="33"/>
        <v>91000</v>
      </c>
    </row>
    <row r="259" spans="1:10" ht="20" customHeight="1" x14ac:dyDescent="0.35">
      <c r="A259" s="10">
        <v>256</v>
      </c>
      <c r="B259" s="10" t="s">
        <v>22</v>
      </c>
      <c r="C259" s="11" t="s">
        <v>234</v>
      </c>
      <c r="D259" s="11" t="s">
        <v>252</v>
      </c>
      <c r="E259" s="12">
        <v>60000</v>
      </c>
      <c r="F259" s="13">
        <f t="shared" si="29"/>
        <v>26.09</v>
      </c>
      <c r="G259" s="14">
        <f t="shared" si="30"/>
        <v>36000</v>
      </c>
      <c r="H259" s="14">
        <f t="shared" si="31"/>
        <v>48000</v>
      </c>
      <c r="I259" s="15">
        <f t="shared" si="32"/>
        <v>72000</v>
      </c>
      <c r="J259" s="15">
        <f t="shared" si="33"/>
        <v>84000</v>
      </c>
    </row>
    <row r="260" spans="1:10" ht="20" customHeight="1" x14ac:dyDescent="0.35">
      <c r="A260" s="10">
        <v>257</v>
      </c>
      <c r="B260" s="10" t="s">
        <v>22</v>
      </c>
      <c r="C260" s="11" t="s">
        <v>234</v>
      </c>
      <c r="D260" s="11" t="s">
        <v>253</v>
      </c>
      <c r="E260" s="12">
        <v>60000</v>
      </c>
      <c r="F260" s="13">
        <f t="shared" ref="F260:F272" si="34">ROUND($E260/2300,2)</f>
        <v>26.09</v>
      </c>
      <c r="G260" s="14">
        <f t="shared" ref="G260:G272" si="35">ROUND($E260*0.6,0)</f>
        <v>36000</v>
      </c>
      <c r="H260" s="14">
        <f t="shared" ref="H260:H272" si="36">ROUND($E260*0.8,0)</f>
        <v>48000</v>
      </c>
      <c r="I260" s="15">
        <f t="shared" si="32"/>
        <v>72000</v>
      </c>
      <c r="J260" s="15">
        <f t="shared" si="33"/>
        <v>84000</v>
      </c>
    </row>
    <row r="261" spans="1:10" ht="20" customHeight="1" x14ac:dyDescent="0.35">
      <c r="A261" s="10">
        <v>258</v>
      </c>
      <c r="B261" s="10" t="s">
        <v>22</v>
      </c>
      <c r="C261" s="11" t="s">
        <v>234</v>
      </c>
      <c r="D261" s="11" t="s">
        <v>254</v>
      </c>
      <c r="E261" s="12">
        <v>90000</v>
      </c>
      <c r="F261" s="13">
        <f t="shared" si="34"/>
        <v>39.130000000000003</v>
      </c>
      <c r="G261" s="14">
        <f t="shared" si="35"/>
        <v>54000</v>
      </c>
      <c r="H261" s="14">
        <f t="shared" si="36"/>
        <v>72000</v>
      </c>
      <c r="I261" s="15">
        <f t="shared" si="32"/>
        <v>108000</v>
      </c>
      <c r="J261" s="15">
        <f t="shared" si="33"/>
        <v>126000</v>
      </c>
    </row>
    <row r="262" spans="1:10" ht="20" customHeight="1" x14ac:dyDescent="0.35">
      <c r="A262" s="10">
        <v>259</v>
      </c>
      <c r="B262" s="10" t="s">
        <v>22</v>
      </c>
      <c r="C262" s="11" t="s">
        <v>234</v>
      </c>
      <c r="D262" s="11" t="s">
        <v>255</v>
      </c>
      <c r="E262" s="12">
        <v>60000</v>
      </c>
      <c r="F262" s="13">
        <f t="shared" si="34"/>
        <v>26.09</v>
      </c>
      <c r="G262" s="14">
        <f t="shared" si="35"/>
        <v>36000</v>
      </c>
      <c r="H262" s="14">
        <f t="shared" si="36"/>
        <v>48000</v>
      </c>
      <c r="I262" s="15">
        <f t="shared" si="32"/>
        <v>72000</v>
      </c>
      <c r="J262" s="15">
        <f t="shared" si="33"/>
        <v>84000</v>
      </c>
    </row>
    <row r="263" spans="1:10" ht="20" customHeight="1" x14ac:dyDescent="0.35">
      <c r="A263" s="10">
        <v>260</v>
      </c>
      <c r="B263" s="10" t="s">
        <v>22</v>
      </c>
      <c r="C263" s="11" t="s">
        <v>234</v>
      </c>
      <c r="D263" s="11" t="s">
        <v>256</v>
      </c>
      <c r="E263" s="12">
        <v>60000</v>
      </c>
      <c r="F263" s="13">
        <f t="shared" si="34"/>
        <v>26.09</v>
      </c>
      <c r="G263" s="14">
        <f t="shared" si="35"/>
        <v>36000</v>
      </c>
      <c r="H263" s="14">
        <f t="shared" si="36"/>
        <v>48000</v>
      </c>
      <c r="I263" s="15">
        <f t="shared" si="32"/>
        <v>72000</v>
      </c>
      <c r="J263" s="15">
        <f t="shared" si="33"/>
        <v>84000</v>
      </c>
    </row>
    <row r="264" spans="1:10" ht="20" customHeight="1" x14ac:dyDescent="0.35">
      <c r="A264" s="10">
        <v>261</v>
      </c>
      <c r="B264" s="10" t="s">
        <v>22</v>
      </c>
      <c r="C264" s="11" t="s">
        <v>234</v>
      </c>
      <c r="D264" s="11" t="s">
        <v>257</v>
      </c>
      <c r="E264" s="12">
        <v>60000</v>
      </c>
      <c r="F264" s="13">
        <f t="shared" si="34"/>
        <v>26.09</v>
      </c>
      <c r="G264" s="14">
        <f t="shared" si="35"/>
        <v>36000</v>
      </c>
      <c r="H264" s="14">
        <f t="shared" si="36"/>
        <v>48000</v>
      </c>
      <c r="I264" s="15">
        <f t="shared" si="32"/>
        <v>72000</v>
      </c>
      <c r="J264" s="15">
        <f t="shared" si="33"/>
        <v>84000</v>
      </c>
    </row>
    <row r="265" spans="1:10" ht="20" customHeight="1" x14ac:dyDescent="0.35">
      <c r="A265" s="10">
        <v>262</v>
      </c>
      <c r="B265" s="10" t="s">
        <v>22</v>
      </c>
      <c r="C265" s="11" t="s">
        <v>234</v>
      </c>
      <c r="D265" s="11" t="s">
        <v>258</v>
      </c>
      <c r="E265" s="12">
        <v>65000</v>
      </c>
      <c r="F265" s="13">
        <f t="shared" si="34"/>
        <v>28.26</v>
      </c>
      <c r="G265" s="14">
        <f t="shared" si="35"/>
        <v>39000</v>
      </c>
      <c r="H265" s="14">
        <f t="shared" si="36"/>
        <v>52000</v>
      </c>
      <c r="I265" s="15">
        <f t="shared" si="32"/>
        <v>78000</v>
      </c>
      <c r="J265" s="15">
        <f t="shared" si="33"/>
        <v>91000</v>
      </c>
    </row>
    <row r="266" spans="1:10" ht="20" customHeight="1" x14ac:dyDescent="0.35">
      <c r="A266" s="10">
        <v>263</v>
      </c>
      <c r="B266" s="10" t="s">
        <v>22</v>
      </c>
      <c r="C266" s="11" t="s">
        <v>259</v>
      </c>
      <c r="D266" s="11" t="s">
        <v>260</v>
      </c>
      <c r="E266" s="12">
        <v>150000</v>
      </c>
      <c r="F266" s="13">
        <f t="shared" si="34"/>
        <v>65.22</v>
      </c>
      <c r="G266" s="14">
        <f t="shared" si="35"/>
        <v>90000</v>
      </c>
      <c r="H266" s="14">
        <f t="shared" si="36"/>
        <v>120000</v>
      </c>
      <c r="I266" s="15">
        <f t="shared" si="32"/>
        <v>180000</v>
      </c>
      <c r="J266" s="15">
        <f t="shared" si="33"/>
        <v>210000</v>
      </c>
    </row>
    <row r="267" spans="1:10" ht="20" customHeight="1" x14ac:dyDescent="0.35">
      <c r="A267" s="10">
        <v>264</v>
      </c>
      <c r="B267" s="10" t="s">
        <v>22</v>
      </c>
      <c r="C267" s="11" t="s">
        <v>259</v>
      </c>
      <c r="D267" s="11" t="s">
        <v>261</v>
      </c>
      <c r="E267" s="12">
        <v>150000</v>
      </c>
      <c r="F267" s="13">
        <f t="shared" si="34"/>
        <v>65.22</v>
      </c>
      <c r="G267" s="14">
        <f t="shared" si="35"/>
        <v>90000</v>
      </c>
      <c r="H267" s="14">
        <f t="shared" si="36"/>
        <v>120000</v>
      </c>
      <c r="I267" s="15">
        <f t="shared" si="32"/>
        <v>180000</v>
      </c>
      <c r="J267" s="15">
        <f t="shared" si="33"/>
        <v>210000</v>
      </c>
    </row>
    <row r="268" spans="1:10" ht="20" customHeight="1" x14ac:dyDescent="0.35">
      <c r="A268" s="10">
        <v>265</v>
      </c>
      <c r="B268" s="10" t="s">
        <v>22</v>
      </c>
      <c r="C268" s="11" t="s">
        <v>259</v>
      </c>
      <c r="D268" s="11" t="s">
        <v>262</v>
      </c>
      <c r="E268" s="12">
        <v>150000</v>
      </c>
      <c r="F268" s="13">
        <f t="shared" si="34"/>
        <v>65.22</v>
      </c>
      <c r="G268" s="14">
        <f t="shared" si="35"/>
        <v>90000</v>
      </c>
      <c r="H268" s="14">
        <f t="shared" si="36"/>
        <v>120000</v>
      </c>
      <c r="I268" s="15">
        <f t="shared" si="32"/>
        <v>180000</v>
      </c>
      <c r="J268" s="15">
        <f t="shared" si="33"/>
        <v>210000</v>
      </c>
    </row>
    <row r="269" spans="1:10" ht="20" customHeight="1" x14ac:dyDescent="0.35">
      <c r="A269" s="10">
        <v>266</v>
      </c>
      <c r="B269" s="10" t="s">
        <v>22</v>
      </c>
      <c r="C269" s="11" t="s">
        <v>259</v>
      </c>
      <c r="D269" s="11" t="s">
        <v>263</v>
      </c>
      <c r="E269" s="12">
        <v>150000</v>
      </c>
      <c r="F269" s="13">
        <f t="shared" si="34"/>
        <v>65.22</v>
      </c>
      <c r="G269" s="14">
        <f t="shared" si="35"/>
        <v>90000</v>
      </c>
      <c r="H269" s="14">
        <f t="shared" si="36"/>
        <v>120000</v>
      </c>
      <c r="I269" s="15">
        <f t="shared" si="32"/>
        <v>180000</v>
      </c>
      <c r="J269" s="15">
        <f t="shared" si="33"/>
        <v>210000</v>
      </c>
    </row>
    <row r="270" spans="1:10" ht="20" customHeight="1" x14ac:dyDescent="0.35">
      <c r="A270" s="10">
        <v>267</v>
      </c>
      <c r="B270" s="10" t="s">
        <v>22</v>
      </c>
      <c r="C270" s="11" t="s">
        <v>259</v>
      </c>
      <c r="D270" s="11" t="s">
        <v>264</v>
      </c>
      <c r="E270" s="12">
        <v>150000</v>
      </c>
      <c r="F270" s="13">
        <f t="shared" si="34"/>
        <v>65.22</v>
      </c>
      <c r="G270" s="14">
        <f t="shared" si="35"/>
        <v>90000</v>
      </c>
      <c r="H270" s="14">
        <f t="shared" si="36"/>
        <v>120000</v>
      </c>
      <c r="I270" s="15">
        <f t="shared" si="32"/>
        <v>180000</v>
      </c>
      <c r="J270" s="15">
        <f t="shared" si="33"/>
        <v>210000</v>
      </c>
    </row>
    <row r="271" spans="1:10" ht="20" customHeight="1" x14ac:dyDescent="0.35">
      <c r="A271" s="10">
        <v>268</v>
      </c>
      <c r="B271" s="10" t="s">
        <v>22</v>
      </c>
      <c r="C271" s="11" t="s">
        <v>259</v>
      </c>
      <c r="D271" s="11" t="s">
        <v>265</v>
      </c>
      <c r="E271" s="12">
        <v>150000</v>
      </c>
      <c r="F271" s="13">
        <f t="shared" si="34"/>
        <v>65.22</v>
      </c>
      <c r="G271" s="14">
        <f t="shared" si="35"/>
        <v>90000</v>
      </c>
      <c r="H271" s="14">
        <f t="shared" si="36"/>
        <v>120000</v>
      </c>
      <c r="I271" s="15">
        <f t="shared" si="32"/>
        <v>180000</v>
      </c>
      <c r="J271" s="15">
        <f t="shared" si="33"/>
        <v>210000</v>
      </c>
    </row>
    <row r="272" spans="1:10" ht="20" customHeight="1" x14ac:dyDescent="0.35">
      <c r="A272" s="10">
        <v>269</v>
      </c>
      <c r="B272" s="10" t="s">
        <v>22</v>
      </c>
      <c r="C272" s="11" t="s">
        <v>259</v>
      </c>
      <c r="D272" s="11" t="s">
        <v>266</v>
      </c>
      <c r="E272" s="12">
        <v>150000</v>
      </c>
      <c r="F272" s="13">
        <f t="shared" si="34"/>
        <v>65.22</v>
      </c>
      <c r="G272" s="14">
        <f t="shared" si="35"/>
        <v>90000</v>
      </c>
      <c r="H272" s="14">
        <f t="shared" si="36"/>
        <v>120000</v>
      </c>
      <c r="I272" s="15">
        <f t="shared" si="32"/>
        <v>180000</v>
      </c>
      <c r="J272" s="15">
        <f t="shared" si="33"/>
        <v>210000</v>
      </c>
    </row>
    <row r="274" spans="1:10" ht="36" customHeight="1" x14ac:dyDescent="0.35">
      <c r="A274" s="29" t="s">
        <v>267</v>
      </c>
      <c r="B274" s="26"/>
      <c r="C274" s="26"/>
      <c r="D274" s="26"/>
      <c r="E274" s="26"/>
      <c r="F274" s="26"/>
      <c r="G274" s="26"/>
      <c r="H274" s="26"/>
      <c r="I274" s="26"/>
      <c r="J274" s="26"/>
    </row>
  </sheetData>
  <autoFilter ref="A3:J272"/>
  <mergeCells count="3">
    <mergeCell ref="A1:J1"/>
    <mergeCell ref="A274:J274"/>
    <mergeCell ref="A2:J2"/>
  </mergeCells>
  <pageMargins left="0.35" right="0.35" top="0.5" bottom="0.45" header="0.5" footer="0.5"/>
  <pageSetup paperSize="9" fitToHeight="0" orientation="landscape"/>
  <headerFooter>
    <oddFooter>&amp;LCHHU — Grille tarifaire consolidée — Cat A saisie · formules A0/A1/B/C/USD&amp;RPage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Sommaire</vt:lpstr>
      <vt:lpstr>Grille CHHU</vt:lpstr>
      <vt:lpstr>'Grille CHHU'!Impression_des_titres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khumba</cp:lastModifiedBy>
  <dcterms:created xsi:type="dcterms:W3CDTF">2026-09-04T14:50:15Z</dcterms:created>
  <dcterms:modified xsi:type="dcterms:W3CDTF">2026-09-04T14:52:08Z</dcterms:modified>
</cp:coreProperties>
</file>